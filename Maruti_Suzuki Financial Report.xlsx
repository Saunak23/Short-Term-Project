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 Drive\Document File\Alvron STP\"/>
    </mc:Choice>
  </mc:AlternateContent>
  <xr:revisionPtr revIDLastSave="0" documentId="13_ncr:1_{A2FBD52A-05D2-4C7E-A112-87AB5AA09B48}" xr6:coauthVersionLast="47" xr6:coauthVersionMax="47" xr10:uidLastSave="{00000000-0000-0000-0000-000000000000}"/>
  <bookViews>
    <workbookView xWindow="-110" yWindow="-110" windowWidth="19420" windowHeight="10420" xr2:uid="{09892462-304D-4602-A9DA-70F0ED2AE9C1}"/>
  </bookViews>
  <sheets>
    <sheet name="Balance Sheet" sheetId="1" r:id="rId1"/>
    <sheet name="CFS" sheetId="7" r:id="rId2"/>
    <sheet name="Schedules_Populated" sheetId="6" r:id="rId3"/>
    <sheet name="Profit &amp; Loss Statement" sheetId="2" r:id="rId4"/>
    <sheet name="Revenue Model" sheetId="4" r:id="rId5"/>
    <sheet name="Assumptions" sheetId="3" r:id="rId6"/>
    <sheet name="WACC" sheetId="9" r:id="rId7"/>
    <sheet name="FCFF" sheetId="10" r:id="rId8"/>
    <sheet name="Relative Valuation" sheetId="11" r:id="rId9"/>
  </sheets>
  <definedNames>
    <definedName name="_xlnm._FilterDatabase" localSheetId="6" hidden="1">WACC!$A$1:$N$469</definedName>
    <definedName name="solver_adj" localSheetId="4" hidden="1">'Revenue Model'!$G$13:$K$13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'Revenue Model'!$G$13:$K$13</definedName>
    <definedName name="solver_lhs2" localSheetId="4" hidden="1">'Revenue Model'!$G$13:$K$13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'Revenue Model'!$M$13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el2" localSheetId="4" hidden="1">3</definedName>
    <definedName name="solver_rhs1" localSheetId="4" hidden="1">30%</definedName>
    <definedName name="solver_rhs2" localSheetId="4" hidden="1">7%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3</definedName>
    <definedName name="solver_val" localSheetId="4" hidden="1">0.3</definedName>
    <definedName name="solver_ver" localSheetId="4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0" l="1"/>
  <c r="F17" i="2"/>
  <c r="G17" i="2"/>
  <c r="H17" i="2"/>
  <c r="I17" i="2"/>
  <c r="E17" i="2"/>
  <c r="C249" i="9"/>
  <c r="C250" i="9"/>
  <c r="C251" i="9"/>
  <c r="C248" i="9"/>
  <c r="C247" i="9"/>
  <c r="C236" i="9"/>
  <c r="C237" i="9"/>
  <c r="C238" i="9"/>
  <c r="C239" i="9"/>
  <c r="C240" i="9"/>
  <c r="C241" i="9"/>
  <c r="C242" i="9"/>
  <c r="C243" i="9"/>
  <c r="C244" i="9"/>
  <c r="C245" i="9"/>
  <c r="C246" i="9"/>
  <c r="C235" i="9"/>
  <c r="C208" i="9"/>
  <c r="C209" i="9"/>
  <c r="C210" i="9"/>
  <c r="C211" i="9"/>
  <c r="F212" i="9" s="1"/>
  <c r="C212" i="9"/>
  <c r="C213" i="9"/>
  <c r="C214" i="9"/>
  <c r="C215" i="9"/>
  <c r="C216" i="9"/>
  <c r="C217" i="9"/>
  <c r="C218" i="9"/>
  <c r="C207" i="9"/>
  <c r="C198" i="9"/>
  <c r="C199" i="9"/>
  <c r="F199" i="9" s="1"/>
  <c r="C200" i="9"/>
  <c r="C201" i="9"/>
  <c r="C202" i="9"/>
  <c r="C203" i="9"/>
  <c r="C204" i="9"/>
  <c r="C205" i="9"/>
  <c r="C206" i="9"/>
  <c r="C197" i="9"/>
  <c r="F198" i="9" s="1"/>
  <c r="C190" i="9"/>
  <c r="C191" i="9"/>
  <c r="C192" i="9"/>
  <c r="C193" i="9"/>
  <c r="C194" i="9"/>
  <c r="C195" i="9"/>
  <c r="C196" i="9"/>
  <c r="C189" i="9"/>
  <c r="C91" i="9"/>
  <c r="C92" i="9"/>
  <c r="C93" i="9"/>
  <c r="C82" i="9"/>
  <c r="C83" i="9"/>
  <c r="C84" i="9"/>
  <c r="C85" i="9"/>
  <c r="C86" i="9"/>
  <c r="C87" i="9"/>
  <c r="C88" i="9"/>
  <c r="C89" i="9"/>
  <c r="C90" i="9"/>
  <c r="C81" i="9"/>
  <c r="C36" i="9"/>
  <c r="C37" i="9"/>
  <c r="C38" i="9"/>
  <c r="C39" i="9"/>
  <c r="C40" i="9"/>
  <c r="C41" i="9"/>
  <c r="C42" i="9"/>
  <c r="C43" i="9"/>
  <c r="C44" i="9"/>
  <c r="C45" i="9"/>
  <c r="C46" i="9"/>
  <c r="C47" i="9"/>
  <c r="C35" i="9"/>
  <c r="C224" i="9"/>
  <c r="C225" i="9"/>
  <c r="C226" i="9"/>
  <c r="C227" i="9"/>
  <c r="C228" i="9"/>
  <c r="C229" i="9"/>
  <c r="C230" i="9"/>
  <c r="C231" i="9"/>
  <c r="C232" i="9"/>
  <c r="C233" i="9"/>
  <c r="C234" i="9"/>
  <c r="C223" i="9"/>
  <c r="C219" i="9"/>
  <c r="C220" i="9"/>
  <c r="C221" i="9"/>
  <c r="C222" i="9"/>
  <c r="C159" i="9"/>
  <c r="C160" i="9"/>
  <c r="F160" i="9" s="1"/>
  <c r="C161" i="9"/>
  <c r="F161" i="9" s="1"/>
  <c r="C162" i="9"/>
  <c r="C163" i="9"/>
  <c r="C164" i="9"/>
  <c r="C165" i="9"/>
  <c r="C166" i="9"/>
  <c r="C167" i="9"/>
  <c r="C168" i="9"/>
  <c r="F168" i="9" s="1"/>
  <c r="C169" i="9"/>
  <c r="C170" i="9"/>
  <c r="C171" i="9"/>
  <c r="C172" i="9"/>
  <c r="C173" i="9"/>
  <c r="C174" i="9"/>
  <c r="C175" i="9"/>
  <c r="C176" i="9"/>
  <c r="F176" i="9" s="1"/>
  <c r="C177" i="9"/>
  <c r="C178" i="9"/>
  <c r="C179" i="9"/>
  <c r="C180" i="9"/>
  <c r="C181" i="9"/>
  <c r="C182" i="9"/>
  <c r="C183" i="9"/>
  <c r="C184" i="9"/>
  <c r="F184" i="9" s="1"/>
  <c r="C185" i="9"/>
  <c r="F185" i="9" s="1"/>
  <c r="C186" i="9"/>
  <c r="C187" i="9"/>
  <c r="C188" i="9"/>
  <c r="C158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44" i="9"/>
  <c r="C120" i="9"/>
  <c r="C121" i="9"/>
  <c r="C122" i="9"/>
  <c r="C123" i="9"/>
  <c r="C124" i="9"/>
  <c r="F124" i="9" s="1"/>
  <c r="C125" i="9"/>
  <c r="C126" i="9"/>
  <c r="C127" i="9"/>
  <c r="C128" i="9"/>
  <c r="C129" i="9"/>
  <c r="C130" i="9"/>
  <c r="C131" i="9"/>
  <c r="C132" i="9"/>
  <c r="F132" i="9" s="1"/>
  <c r="C133" i="9"/>
  <c r="C134" i="9"/>
  <c r="C135" i="9"/>
  <c r="C136" i="9"/>
  <c r="C137" i="9"/>
  <c r="C138" i="9"/>
  <c r="C139" i="9"/>
  <c r="C140" i="9"/>
  <c r="F140" i="9" s="1"/>
  <c r="C141" i="9"/>
  <c r="C142" i="9"/>
  <c r="C143" i="9"/>
  <c r="C119" i="9"/>
  <c r="C95" i="9"/>
  <c r="C96" i="9"/>
  <c r="C97" i="9"/>
  <c r="C98" i="9"/>
  <c r="C99" i="9"/>
  <c r="C100" i="9"/>
  <c r="C101" i="9"/>
  <c r="C102" i="9"/>
  <c r="C103" i="9"/>
  <c r="C104" i="9"/>
  <c r="C105" i="9"/>
  <c r="C106" i="9"/>
  <c r="F106" i="9" s="1"/>
  <c r="C107" i="9"/>
  <c r="C108" i="9"/>
  <c r="C109" i="9"/>
  <c r="C110" i="9"/>
  <c r="C111" i="9"/>
  <c r="C112" i="9"/>
  <c r="C113" i="9"/>
  <c r="C114" i="9"/>
  <c r="F114" i="9" s="1"/>
  <c r="C115" i="9"/>
  <c r="C116" i="9"/>
  <c r="C117" i="9"/>
  <c r="C118" i="9"/>
  <c r="C94" i="9"/>
  <c r="C62" i="9"/>
  <c r="C63" i="9"/>
  <c r="C64" i="9"/>
  <c r="F64" i="9" s="1"/>
  <c r="C65" i="9"/>
  <c r="C66" i="9"/>
  <c r="C67" i="9"/>
  <c r="C68" i="9"/>
  <c r="C69" i="9"/>
  <c r="C70" i="9"/>
  <c r="C71" i="9"/>
  <c r="C72" i="9"/>
  <c r="F72" i="9" s="1"/>
  <c r="C73" i="9"/>
  <c r="C74" i="9"/>
  <c r="C75" i="9"/>
  <c r="C76" i="9"/>
  <c r="C77" i="9"/>
  <c r="C78" i="9"/>
  <c r="C79" i="9"/>
  <c r="C80" i="9"/>
  <c r="F80" i="9" s="1"/>
  <c r="C49" i="9"/>
  <c r="C50" i="9"/>
  <c r="C51" i="9"/>
  <c r="C52" i="9"/>
  <c r="C53" i="9"/>
  <c r="C54" i="9"/>
  <c r="C55" i="9"/>
  <c r="C56" i="9"/>
  <c r="F56" i="9" s="1"/>
  <c r="C57" i="9"/>
  <c r="C58" i="9"/>
  <c r="C59" i="9"/>
  <c r="C60" i="9"/>
  <c r="C61" i="9"/>
  <c r="C48" i="9"/>
  <c r="C20" i="9"/>
  <c r="C21" i="9"/>
  <c r="F21" i="9" s="1"/>
  <c r="C22" i="9"/>
  <c r="C23" i="9"/>
  <c r="C24" i="9"/>
  <c r="C25" i="9"/>
  <c r="C26" i="9"/>
  <c r="C27" i="9"/>
  <c r="C28" i="9"/>
  <c r="C29" i="9"/>
  <c r="F29" i="9" s="1"/>
  <c r="C30" i="9"/>
  <c r="C31" i="9"/>
  <c r="C32" i="9"/>
  <c r="C33" i="9"/>
  <c r="C34" i="9"/>
  <c r="C3" i="9"/>
  <c r="C4" i="9"/>
  <c r="C5" i="9"/>
  <c r="F5" i="9" s="1"/>
  <c r="C6" i="9"/>
  <c r="C7" i="9"/>
  <c r="C8" i="9"/>
  <c r="C9" i="9"/>
  <c r="C10" i="9"/>
  <c r="C11" i="9"/>
  <c r="C12" i="9"/>
  <c r="C13" i="9"/>
  <c r="F13" i="9" s="1"/>
  <c r="C14" i="9"/>
  <c r="C15" i="9"/>
  <c r="C16" i="9"/>
  <c r="C17" i="9"/>
  <c r="C18" i="9"/>
  <c r="C19" i="9"/>
  <c r="C2" i="9"/>
  <c r="E13" i="2"/>
  <c r="E14" i="2" s="1"/>
  <c r="F195" i="9" l="1"/>
  <c r="F192" i="9"/>
  <c r="F208" i="9"/>
  <c r="F36" i="9"/>
  <c r="F45" i="9"/>
  <c r="F37" i="9"/>
  <c r="F85" i="9"/>
  <c r="F117" i="9"/>
  <c r="F109" i="9"/>
  <c r="F101" i="9"/>
  <c r="F143" i="9"/>
  <c r="F135" i="9"/>
  <c r="F127" i="9"/>
  <c r="F150" i="9"/>
  <c r="F190" i="9"/>
  <c r="F12" i="9"/>
  <c r="F4" i="9"/>
  <c r="F187" i="9"/>
  <c r="F179" i="9"/>
  <c r="F171" i="9"/>
  <c r="F163" i="9"/>
  <c r="F46" i="9"/>
  <c r="F38" i="9"/>
  <c r="F86" i="9"/>
  <c r="F214" i="9"/>
  <c r="F246" i="9"/>
  <c r="F238" i="9"/>
  <c r="F84" i="9"/>
  <c r="F204" i="9"/>
  <c r="F218" i="9"/>
  <c r="F210" i="9"/>
  <c r="F203" i="9"/>
  <c r="F217" i="9"/>
  <c r="F241" i="9"/>
  <c r="F19" i="9"/>
  <c r="F11" i="9"/>
  <c r="F27" i="9"/>
  <c r="F54" i="9"/>
  <c r="F78" i="9"/>
  <c r="F70" i="9"/>
  <c r="F62" i="9"/>
  <c r="F112" i="9"/>
  <c r="F104" i="9"/>
  <c r="F96" i="9"/>
  <c r="F138" i="9"/>
  <c r="F130" i="9"/>
  <c r="F122" i="9"/>
  <c r="F153" i="9"/>
  <c r="F182" i="9"/>
  <c r="F174" i="9"/>
  <c r="F166" i="9"/>
  <c r="F222" i="9"/>
  <c r="F231" i="9"/>
  <c r="F91" i="9"/>
  <c r="F191" i="9"/>
  <c r="F201" i="9"/>
  <c r="F215" i="9"/>
  <c r="F235" i="9"/>
  <c r="F249" i="9"/>
  <c r="F211" i="9"/>
  <c r="F219" i="9"/>
  <c r="F228" i="9"/>
  <c r="F206" i="9"/>
  <c r="F15" i="9"/>
  <c r="F7" i="9"/>
  <c r="F31" i="9"/>
  <c r="F23" i="9"/>
  <c r="F58" i="9"/>
  <c r="F50" i="9"/>
  <c r="F74" i="9"/>
  <c r="F66" i="9"/>
  <c r="F116" i="9"/>
  <c r="F108" i="9"/>
  <c r="F100" i="9"/>
  <c r="F142" i="9"/>
  <c r="F134" i="9"/>
  <c r="F126" i="9"/>
  <c r="F157" i="9"/>
  <c r="F149" i="9"/>
  <c r="F186" i="9"/>
  <c r="F178" i="9"/>
  <c r="F170" i="9"/>
  <c r="F162" i="9"/>
  <c r="F224" i="9"/>
  <c r="F227" i="9"/>
  <c r="F82" i="9"/>
  <c r="F205" i="9"/>
  <c r="F243" i="9"/>
  <c r="F42" i="9"/>
  <c r="F194" i="9"/>
  <c r="F40" i="9"/>
  <c r="F99" i="9"/>
  <c r="F28" i="9"/>
  <c r="F20" i="9"/>
  <c r="F55" i="9"/>
  <c r="F79" i="9"/>
  <c r="F71" i="9"/>
  <c r="F63" i="9"/>
  <c r="F113" i="9"/>
  <c r="F105" i="9"/>
  <c r="F97" i="9"/>
  <c r="F139" i="9"/>
  <c r="F131" i="9"/>
  <c r="F123" i="9"/>
  <c r="F183" i="9"/>
  <c r="F175" i="9"/>
  <c r="F167" i="9"/>
  <c r="F159" i="9"/>
  <c r="F197" i="9"/>
  <c r="F213" i="9"/>
  <c r="F245" i="9"/>
  <c r="F237" i="9"/>
  <c r="F10" i="9"/>
  <c r="F35" i="9"/>
  <c r="F242" i="9"/>
  <c r="F17" i="9"/>
  <c r="F9" i="9"/>
  <c r="F33" i="9"/>
  <c r="F25" i="9"/>
  <c r="F60" i="9"/>
  <c r="F52" i="9"/>
  <c r="F76" i="9"/>
  <c r="F68" i="9"/>
  <c r="F118" i="9"/>
  <c r="F110" i="9"/>
  <c r="F102" i="9"/>
  <c r="F136" i="9"/>
  <c r="F128" i="9"/>
  <c r="F151" i="9"/>
  <c r="F188" i="9"/>
  <c r="F180" i="9"/>
  <c r="F172" i="9"/>
  <c r="F164" i="9"/>
  <c r="F220" i="9"/>
  <c r="F229" i="9"/>
  <c r="F41" i="9"/>
  <c r="F147" i="9"/>
  <c r="F225" i="9"/>
  <c r="F177" i="9"/>
  <c r="F48" i="9"/>
  <c r="F146" i="9"/>
  <c r="F107" i="9"/>
  <c r="F18" i="9"/>
  <c r="F26" i="9"/>
  <c r="F61" i="9"/>
  <c r="F53" i="9"/>
  <c r="F77" i="9"/>
  <c r="F69" i="9"/>
  <c r="F111" i="9"/>
  <c r="F103" i="9"/>
  <c r="F95" i="9"/>
  <c r="F137" i="9"/>
  <c r="F129" i="9"/>
  <c r="F121" i="9"/>
  <c r="F152" i="9"/>
  <c r="F158" i="9"/>
  <c r="F181" i="9"/>
  <c r="F173" i="9"/>
  <c r="F165" i="9"/>
  <c r="F221" i="9"/>
  <c r="F230" i="9"/>
  <c r="F115" i="9"/>
  <c r="F155" i="9"/>
  <c r="F3" i="9"/>
  <c r="F169" i="9"/>
  <c r="F16" i="9"/>
  <c r="F8" i="9"/>
  <c r="F32" i="9"/>
  <c r="F24" i="9"/>
  <c r="F59" i="9"/>
  <c r="F51" i="9"/>
  <c r="F75" i="9"/>
  <c r="F67" i="9"/>
  <c r="F144" i="9"/>
  <c r="F207" i="9"/>
  <c r="F233" i="9"/>
  <c r="F89" i="9"/>
  <c r="F240" i="9"/>
  <c r="F119" i="9"/>
  <c r="F120" i="9"/>
  <c r="F98" i="9"/>
  <c r="F14" i="9"/>
  <c r="F6" i="9"/>
  <c r="F30" i="9"/>
  <c r="F22" i="9"/>
  <c r="F57" i="9"/>
  <c r="F49" i="9"/>
  <c r="F73" i="9"/>
  <c r="F65" i="9"/>
  <c r="F141" i="9"/>
  <c r="F133" i="9"/>
  <c r="F125" i="9"/>
  <c r="F156" i="9"/>
  <c r="F148" i="9"/>
  <c r="F234" i="9"/>
  <c r="F226" i="9"/>
  <c r="F47" i="9"/>
  <c r="F39" i="9"/>
  <c r="F87" i="9"/>
  <c r="F202" i="9"/>
  <c r="F250" i="9"/>
  <c r="F232" i="9"/>
  <c r="F223" i="9"/>
  <c r="F145" i="9"/>
  <c r="F239" i="9"/>
  <c r="F34" i="9"/>
  <c r="F43" i="9"/>
  <c r="F81" i="9"/>
  <c r="F83" i="9"/>
  <c r="F196" i="9"/>
  <c r="F209" i="9"/>
  <c r="F193" i="9"/>
  <c r="F247" i="9"/>
  <c r="F154" i="9"/>
  <c r="F236" i="9"/>
  <c r="F94" i="9"/>
  <c r="F88" i="9"/>
  <c r="F92" i="9"/>
  <c r="C3" i="10"/>
  <c r="E3" i="10"/>
  <c r="D3" i="10"/>
  <c r="F251" i="9"/>
  <c r="F248" i="9"/>
  <c r="F244" i="9"/>
  <c r="F216" i="9"/>
  <c r="F200" i="9"/>
  <c r="F189" i="9"/>
  <c r="F93" i="9"/>
  <c r="F90" i="9"/>
  <c r="F44" i="9"/>
  <c r="F13" i="2"/>
  <c r="G13" i="2"/>
  <c r="I13" i="2"/>
  <c r="F86" i="6"/>
  <c r="E57" i="1"/>
  <c r="E30" i="1"/>
  <c r="F57" i="1"/>
  <c r="G57" i="1"/>
  <c r="F30" i="1"/>
  <c r="G30" i="1"/>
  <c r="H57" i="1"/>
  <c r="I57" i="1"/>
  <c r="H30" i="1"/>
  <c r="I30" i="1"/>
  <c r="J30" i="4"/>
  <c r="K30" i="4" s="1"/>
  <c r="J28" i="4"/>
  <c r="K28" i="4" s="1"/>
  <c r="L28" i="4" s="1"/>
  <c r="J26" i="4"/>
  <c r="J22" i="4"/>
  <c r="J19" i="4"/>
  <c r="K19" i="4" s="1"/>
  <c r="L19" i="4" s="1"/>
  <c r="E13" i="4"/>
  <c r="I7" i="4"/>
  <c r="H7" i="4"/>
  <c r="E18" i="2"/>
  <c r="E22" i="2"/>
  <c r="H13" i="2"/>
  <c r="F3" i="10" l="1"/>
  <c r="G3" i="10"/>
  <c r="K22" i="4"/>
  <c r="L30" i="4"/>
  <c r="K26" i="4"/>
  <c r="M28" i="4"/>
  <c r="M19" i="4"/>
  <c r="P9" i="11"/>
  <c r="C18" i="10"/>
  <c r="J31" i="10" s="1"/>
  <c r="J32" i="10" s="1"/>
  <c r="J33" i="10" s="1"/>
  <c r="C33" i="10"/>
  <c r="C31" i="10"/>
  <c r="D21" i="10"/>
  <c r="E21" i="10" s="1"/>
  <c r="F21" i="10" s="1"/>
  <c r="G21" i="10" s="1"/>
  <c r="H21" i="10" s="1"/>
  <c r="I21" i="10" s="1"/>
  <c r="J21" i="10" s="1"/>
  <c r="K21" i="10" s="1"/>
  <c r="L21" i="10" s="1"/>
  <c r="M21" i="10" s="1"/>
  <c r="N21" i="10" s="1"/>
  <c r="O21" i="10" s="1"/>
  <c r="P21" i="10" s="1"/>
  <c r="Q21" i="10" s="1"/>
  <c r="I14" i="9"/>
  <c r="E3" i="9"/>
  <c r="B19" i="7"/>
  <c r="N35" i="1"/>
  <c r="M35" i="1"/>
  <c r="L35" i="1"/>
  <c r="K35" i="1"/>
  <c r="J35" i="1"/>
  <c r="J52" i="6"/>
  <c r="K52" i="6" s="1"/>
  <c r="I89" i="6"/>
  <c r="J103" i="6"/>
  <c r="J100" i="6"/>
  <c r="J97" i="6"/>
  <c r="J98" i="6" s="1"/>
  <c r="J99" i="6" s="1"/>
  <c r="J76" i="6" s="1"/>
  <c r="H89" i="6"/>
  <c r="J89" i="6" s="1"/>
  <c r="E89" i="6"/>
  <c r="F89" i="6"/>
  <c r="G89" i="6"/>
  <c r="I93" i="6"/>
  <c r="I91" i="6"/>
  <c r="I3" i="4"/>
  <c r="I6" i="4" s="1"/>
  <c r="D9" i="11"/>
  <c r="I40" i="3"/>
  <c r="H40" i="3"/>
  <c r="G40" i="3"/>
  <c r="F40" i="3"/>
  <c r="I39" i="3"/>
  <c r="H39" i="3"/>
  <c r="G39" i="3"/>
  <c r="F39" i="3"/>
  <c r="I38" i="3"/>
  <c r="H38" i="3"/>
  <c r="G38" i="3"/>
  <c r="F38" i="3"/>
  <c r="I36" i="3"/>
  <c r="H36" i="3"/>
  <c r="G36" i="3"/>
  <c r="F36" i="3"/>
  <c r="I35" i="3"/>
  <c r="H35" i="3"/>
  <c r="G35" i="3"/>
  <c r="F35" i="3"/>
  <c r="I34" i="3"/>
  <c r="J34" i="3" s="1"/>
  <c r="K34" i="3" s="1"/>
  <c r="K34" i="1" s="1"/>
  <c r="H34" i="3"/>
  <c r="G34" i="3"/>
  <c r="F34" i="3"/>
  <c r="I31" i="3"/>
  <c r="H31" i="3"/>
  <c r="G31" i="3"/>
  <c r="F31" i="3"/>
  <c r="I30" i="3"/>
  <c r="H30" i="3"/>
  <c r="G30" i="3"/>
  <c r="F30" i="3"/>
  <c r="I29" i="3"/>
  <c r="H29" i="3"/>
  <c r="G29" i="3"/>
  <c r="F29" i="3"/>
  <c r="I28" i="3"/>
  <c r="H28" i="3"/>
  <c r="G28" i="3"/>
  <c r="F28" i="3"/>
  <c r="I27" i="3"/>
  <c r="H27" i="3"/>
  <c r="G27" i="3"/>
  <c r="F27" i="3"/>
  <c r="I24" i="3"/>
  <c r="H24" i="3"/>
  <c r="G24" i="3"/>
  <c r="F24" i="3"/>
  <c r="I23" i="3"/>
  <c r="J23" i="3" s="1"/>
  <c r="H23" i="3"/>
  <c r="G23" i="3"/>
  <c r="F23" i="3"/>
  <c r="I22" i="3"/>
  <c r="H22" i="3"/>
  <c r="G22" i="3"/>
  <c r="F22" i="3"/>
  <c r="E40" i="3"/>
  <c r="E39" i="3"/>
  <c r="E38" i="3"/>
  <c r="E35" i="3"/>
  <c r="E36" i="3"/>
  <c r="E34" i="3"/>
  <c r="E29" i="3"/>
  <c r="E30" i="3"/>
  <c r="E31" i="3"/>
  <c r="E28" i="3"/>
  <c r="E27" i="3"/>
  <c r="E24" i="3"/>
  <c r="E23" i="3"/>
  <c r="E22" i="3"/>
  <c r="J30" i="10" l="1"/>
  <c r="J29" i="10" s="1"/>
  <c r="K89" i="6"/>
  <c r="L89" i="6" s="1"/>
  <c r="J88" i="6"/>
  <c r="J104" i="6"/>
  <c r="J105" i="6" s="1"/>
  <c r="J101" i="6"/>
  <c r="J102" i="6" s="1"/>
  <c r="J38" i="3"/>
  <c r="K38" i="3" s="1"/>
  <c r="J40" i="3"/>
  <c r="K40" i="3" s="1"/>
  <c r="L40" i="3" s="1"/>
  <c r="M40" i="3" s="1"/>
  <c r="N40" i="3" s="1"/>
  <c r="N45" i="1" s="1"/>
  <c r="J30" i="3"/>
  <c r="K30" i="3" s="1"/>
  <c r="J28" i="3"/>
  <c r="K28" i="3" s="1"/>
  <c r="J39" i="3"/>
  <c r="K39" i="3" s="1"/>
  <c r="J29" i="3"/>
  <c r="K29" i="3" s="1"/>
  <c r="J31" i="3"/>
  <c r="K31" i="3" s="1"/>
  <c r="L34" i="3"/>
  <c r="J34" i="1" s="1"/>
  <c r="B12" i="7" s="1"/>
  <c r="J27" i="3"/>
  <c r="K27" i="3" s="1"/>
  <c r="J22" i="3"/>
  <c r="K22" i="3" s="1"/>
  <c r="J24" i="3"/>
  <c r="J9" i="1" s="1"/>
  <c r="J7" i="1"/>
  <c r="K23" i="3"/>
  <c r="L22" i="4"/>
  <c r="M22" i="4" s="1"/>
  <c r="N22" i="4" s="1"/>
  <c r="M30" i="4"/>
  <c r="N28" i="4"/>
  <c r="L26" i="4"/>
  <c r="N19" i="4"/>
  <c r="I4" i="4"/>
  <c r="L52" i="6"/>
  <c r="I60" i="6"/>
  <c r="C12" i="7" l="1"/>
  <c r="M89" i="6"/>
  <c r="N89" i="6" s="1"/>
  <c r="J80" i="6"/>
  <c r="J106" i="6"/>
  <c r="C8" i="10" s="1"/>
  <c r="J43" i="1"/>
  <c r="J44" i="1"/>
  <c r="J14" i="1"/>
  <c r="J45" i="1"/>
  <c r="K45" i="1"/>
  <c r="M45" i="1"/>
  <c r="J15" i="1"/>
  <c r="L45" i="1"/>
  <c r="J17" i="1"/>
  <c r="J6" i="1"/>
  <c r="J16" i="1"/>
  <c r="L30" i="3"/>
  <c r="K16" i="1"/>
  <c r="L29" i="3"/>
  <c r="K15" i="1"/>
  <c r="K24" i="3"/>
  <c r="K9" i="1" s="1"/>
  <c r="L31" i="3"/>
  <c r="K17" i="1"/>
  <c r="J13" i="1"/>
  <c r="M34" i="3"/>
  <c r="L34" i="1"/>
  <c r="D12" i="7" s="1"/>
  <c r="L28" i="3"/>
  <c r="K14" i="1"/>
  <c r="L38" i="3"/>
  <c r="K43" i="1"/>
  <c r="L39" i="3"/>
  <c r="K44" i="1"/>
  <c r="L27" i="3"/>
  <c r="K13" i="1"/>
  <c r="L23" i="3"/>
  <c r="K7" i="1"/>
  <c r="L22" i="3"/>
  <c r="K6" i="1"/>
  <c r="N30" i="4"/>
  <c r="I16" i="4"/>
  <c r="I27" i="4"/>
  <c r="I25" i="4"/>
  <c r="I21" i="4"/>
  <c r="I29" i="4"/>
  <c r="I23" i="4"/>
  <c r="I18" i="4"/>
  <c r="M26" i="4"/>
  <c r="N26" i="4" s="1"/>
  <c r="M52" i="6"/>
  <c r="J77" i="6"/>
  <c r="K97" i="6"/>
  <c r="I12" i="4"/>
  <c r="E4" i="9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I15" i="3"/>
  <c r="I13" i="3"/>
  <c r="I9" i="3"/>
  <c r="I4" i="3"/>
  <c r="I3" i="3"/>
  <c r="H91" i="6"/>
  <c r="J91" i="6" s="1"/>
  <c r="G91" i="6"/>
  <c r="I86" i="6"/>
  <c r="J84" i="6" s="1"/>
  <c r="I82" i="6"/>
  <c r="I78" i="6"/>
  <c r="I94" i="6"/>
  <c r="I73" i="6"/>
  <c r="I72" i="6"/>
  <c r="I71" i="6"/>
  <c r="I53" i="6"/>
  <c r="I47" i="6"/>
  <c r="I46" i="6"/>
  <c r="I43" i="6"/>
  <c r="I42" i="6"/>
  <c r="I18" i="6"/>
  <c r="I37" i="6" s="1"/>
  <c r="I17" i="6"/>
  <c r="I36" i="6" s="1"/>
  <c r="I15" i="6"/>
  <c r="I34" i="6" s="1"/>
  <c r="I14" i="6"/>
  <c r="I33" i="6" s="1"/>
  <c r="I12" i="6"/>
  <c r="I31" i="6" s="1"/>
  <c r="I9" i="6"/>
  <c r="I29" i="6" s="1"/>
  <c r="I7" i="6"/>
  <c r="I27" i="6" s="1"/>
  <c r="I6" i="6"/>
  <c r="I26" i="6" s="1"/>
  <c r="I5" i="6"/>
  <c r="N23" i="6"/>
  <c r="N30" i="6" s="1"/>
  <c r="N41" i="6" s="1"/>
  <c r="N70" i="6" s="1"/>
  <c r="C3" i="4"/>
  <c r="C4" i="4" s="1"/>
  <c r="D3" i="4"/>
  <c r="D4" i="4" s="1"/>
  <c r="C7" i="4"/>
  <c r="D7" i="4"/>
  <c r="C12" i="4"/>
  <c r="D12" i="4"/>
  <c r="I19" i="6"/>
  <c r="I38" i="6" s="1"/>
  <c r="I16" i="6"/>
  <c r="I35" i="6" s="1"/>
  <c r="I8" i="6"/>
  <c r="I28" i="6" s="1"/>
  <c r="N3" i="2"/>
  <c r="N2" i="3" s="1"/>
  <c r="I24" i="2"/>
  <c r="I10" i="6" l="1"/>
  <c r="I25" i="6"/>
  <c r="B9" i="7"/>
  <c r="K91" i="6"/>
  <c r="L91" i="6" s="1"/>
  <c r="J90" i="6"/>
  <c r="L24" i="3"/>
  <c r="M24" i="3" s="1"/>
  <c r="B8" i="7"/>
  <c r="M31" i="3"/>
  <c r="L17" i="1"/>
  <c r="M39" i="3"/>
  <c r="L44" i="1"/>
  <c r="M38" i="3"/>
  <c r="L43" i="1"/>
  <c r="M30" i="3"/>
  <c r="L16" i="1"/>
  <c r="M28" i="3"/>
  <c r="L14" i="1"/>
  <c r="M29" i="3"/>
  <c r="L15" i="1"/>
  <c r="N34" i="3"/>
  <c r="N34" i="1" s="1"/>
  <c r="M34" i="1"/>
  <c r="E12" i="7" s="1"/>
  <c r="C8" i="7"/>
  <c r="M27" i="3"/>
  <c r="L13" i="1"/>
  <c r="M23" i="3"/>
  <c r="L7" i="1"/>
  <c r="M22" i="3"/>
  <c r="L6" i="1"/>
  <c r="J16" i="4"/>
  <c r="I20" i="4"/>
  <c r="D13" i="4"/>
  <c r="J12" i="4"/>
  <c r="I10" i="3"/>
  <c r="I11" i="3" s="1"/>
  <c r="D6" i="4"/>
  <c r="I6" i="3"/>
  <c r="N52" i="6"/>
  <c r="J78" i="6"/>
  <c r="J71" i="6" s="1"/>
  <c r="J5" i="1" s="1"/>
  <c r="K98" i="6"/>
  <c r="K99" i="6" s="1"/>
  <c r="N2" i="4"/>
  <c r="N21" i="3"/>
  <c r="I48" i="6"/>
  <c r="I44" i="6"/>
  <c r="I20" i="6"/>
  <c r="C6" i="4"/>
  <c r="D40" i="3"/>
  <c r="D39" i="3"/>
  <c r="D38" i="3"/>
  <c r="D36" i="3"/>
  <c r="D35" i="3"/>
  <c r="D34" i="3"/>
  <c r="D31" i="3"/>
  <c r="D30" i="3"/>
  <c r="D29" i="3"/>
  <c r="D28" i="3"/>
  <c r="D27" i="3"/>
  <c r="D24" i="3"/>
  <c r="D23" i="3"/>
  <c r="D22" i="3"/>
  <c r="C40" i="3"/>
  <c r="C39" i="3"/>
  <c r="C38" i="3"/>
  <c r="C36" i="3"/>
  <c r="C35" i="3"/>
  <c r="C34" i="3"/>
  <c r="C31" i="3"/>
  <c r="C30" i="3"/>
  <c r="C29" i="3"/>
  <c r="C28" i="3"/>
  <c r="C27" i="3"/>
  <c r="C24" i="3"/>
  <c r="C23" i="3"/>
  <c r="C22" i="3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H17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I8" i="9" l="1"/>
  <c r="B10" i="7"/>
  <c r="M91" i="6"/>
  <c r="N91" i="6" s="1"/>
  <c r="K100" i="6"/>
  <c r="K101" i="6" s="1"/>
  <c r="K102" i="6" s="1"/>
  <c r="K80" i="6" s="1"/>
  <c r="J81" i="6"/>
  <c r="J82" i="6" s="1"/>
  <c r="J72" i="6" s="1"/>
  <c r="J8" i="1" s="1"/>
  <c r="L9" i="1"/>
  <c r="D8" i="7" s="1"/>
  <c r="N28" i="3"/>
  <c r="N14" i="1" s="1"/>
  <c r="M14" i="1"/>
  <c r="N31" i="3"/>
  <c r="N17" i="1" s="1"/>
  <c r="M17" i="1"/>
  <c r="N30" i="3"/>
  <c r="N16" i="1" s="1"/>
  <c r="M16" i="1"/>
  <c r="F12" i="7"/>
  <c r="J60" i="6"/>
  <c r="J44" i="6" s="1"/>
  <c r="N38" i="3"/>
  <c r="N43" i="1" s="1"/>
  <c r="M43" i="1"/>
  <c r="N29" i="3"/>
  <c r="N15" i="1" s="1"/>
  <c r="M15" i="1"/>
  <c r="N39" i="3"/>
  <c r="N44" i="1" s="1"/>
  <c r="M44" i="1"/>
  <c r="J65" i="6"/>
  <c r="J48" i="6" s="1"/>
  <c r="N27" i="3"/>
  <c r="N13" i="1" s="1"/>
  <c r="M13" i="1"/>
  <c r="N24" i="3"/>
  <c r="N9" i="1" s="1"/>
  <c r="M9" i="1"/>
  <c r="N23" i="3"/>
  <c r="N7" i="1" s="1"/>
  <c r="M7" i="1"/>
  <c r="N22" i="3"/>
  <c r="N6" i="1" s="1"/>
  <c r="M6" i="1"/>
  <c r="K16" i="4"/>
  <c r="J10" i="3"/>
  <c r="K12" i="4"/>
  <c r="K76" i="6"/>
  <c r="K90" i="6"/>
  <c r="I21" i="6"/>
  <c r="H15" i="3"/>
  <c r="G15" i="3"/>
  <c r="F15" i="3"/>
  <c r="E15" i="3"/>
  <c r="D15" i="3"/>
  <c r="C15" i="3"/>
  <c r="H13" i="3"/>
  <c r="G13" i="3"/>
  <c r="F13" i="3"/>
  <c r="E13" i="3"/>
  <c r="D13" i="3"/>
  <c r="D10" i="3"/>
  <c r="C10" i="3"/>
  <c r="H9" i="3"/>
  <c r="G9" i="3"/>
  <c r="F9" i="3"/>
  <c r="E9" i="3"/>
  <c r="D9" i="3"/>
  <c r="C9" i="3"/>
  <c r="H4" i="3"/>
  <c r="G4" i="3"/>
  <c r="F4" i="3"/>
  <c r="E4" i="3"/>
  <c r="D4" i="3"/>
  <c r="C4" i="3"/>
  <c r="H3" i="3"/>
  <c r="G3" i="3"/>
  <c r="F3" i="3"/>
  <c r="E3" i="3"/>
  <c r="D3" i="3"/>
  <c r="C3" i="3"/>
  <c r="H94" i="6"/>
  <c r="H82" i="6"/>
  <c r="H78" i="6"/>
  <c r="H73" i="6"/>
  <c r="H72" i="6"/>
  <c r="H71" i="6"/>
  <c r="H53" i="6"/>
  <c r="H47" i="6"/>
  <c r="H46" i="6"/>
  <c r="H43" i="6"/>
  <c r="H42" i="6"/>
  <c r="H18" i="6"/>
  <c r="H37" i="6" s="1"/>
  <c r="H17" i="6"/>
  <c r="H36" i="6" s="1"/>
  <c r="H15" i="6"/>
  <c r="H34" i="6" s="1"/>
  <c r="H14" i="6"/>
  <c r="H33" i="6" s="1"/>
  <c r="H12" i="6"/>
  <c r="H31" i="6" s="1"/>
  <c r="H9" i="6"/>
  <c r="H29" i="6" s="1"/>
  <c r="H7" i="6"/>
  <c r="H27" i="6" s="1"/>
  <c r="H6" i="6"/>
  <c r="H26" i="6" s="1"/>
  <c r="H5" i="6"/>
  <c r="M23" i="6"/>
  <c r="M30" i="6" s="1"/>
  <c r="M41" i="6" s="1"/>
  <c r="M70" i="6" s="1"/>
  <c r="H25" i="6" l="1"/>
  <c r="H48" i="6"/>
  <c r="I56" i="6" s="1"/>
  <c r="H44" i="6"/>
  <c r="I55" i="6" s="1"/>
  <c r="J55" i="6" s="1"/>
  <c r="E8" i="7"/>
  <c r="K65" i="6"/>
  <c r="K48" i="6" s="1"/>
  <c r="I15" i="9"/>
  <c r="K60" i="6"/>
  <c r="K44" i="6" s="1"/>
  <c r="F8" i="7"/>
  <c r="L16" i="4"/>
  <c r="L12" i="4"/>
  <c r="K10" i="3"/>
  <c r="D14" i="3"/>
  <c r="I14" i="3"/>
  <c r="I5" i="3"/>
  <c r="G6" i="3"/>
  <c r="H5" i="3"/>
  <c r="H14" i="3"/>
  <c r="G14" i="3"/>
  <c r="G5" i="3"/>
  <c r="F14" i="3"/>
  <c r="E14" i="3"/>
  <c r="E5" i="3"/>
  <c r="F5" i="3"/>
  <c r="L100" i="6"/>
  <c r="K81" i="6"/>
  <c r="K88" i="6"/>
  <c r="H86" i="6"/>
  <c r="D11" i="3"/>
  <c r="F6" i="3"/>
  <c r="C11" i="3"/>
  <c r="E6" i="3"/>
  <c r="H6" i="3"/>
  <c r="C6" i="3"/>
  <c r="D5" i="3"/>
  <c r="D6" i="3"/>
  <c r="H12" i="4"/>
  <c r="H3" i="4"/>
  <c r="H24" i="2"/>
  <c r="H19" i="6"/>
  <c r="H38" i="6" s="1"/>
  <c r="H16" i="6"/>
  <c r="H35" i="6" s="1"/>
  <c r="H8" i="6"/>
  <c r="H28" i="6" s="1"/>
  <c r="M3" i="2"/>
  <c r="M2" i="3" s="1"/>
  <c r="G3" i="4"/>
  <c r="F3" i="4"/>
  <c r="F4" i="4" s="1"/>
  <c r="E3" i="4"/>
  <c r="H10" i="6" l="1"/>
  <c r="K55" i="6"/>
  <c r="L55" i="6" s="1"/>
  <c r="L65" i="6"/>
  <c r="L48" i="6" s="1"/>
  <c r="C29" i="10"/>
  <c r="I18" i="9"/>
  <c r="I19" i="9" s="1"/>
  <c r="L60" i="6"/>
  <c r="L44" i="6" s="1"/>
  <c r="H20" i="6"/>
  <c r="F27" i="4"/>
  <c r="F25" i="4"/>
  <c r="F23" i="4"/>
  <c r="F21" i="4"/>
  <c r="F18" i="4"/>
  <c r="F16" i="4"/>
  <c r="F29" i="4"/>
  <c r="M16" i="4"/>
  <c r="H10" i="3"/>
  <c r="H11" i="3" s="1"/>
  <c r="M12" i="4"/>
  <c r="L10" i="3"/>
  <c r="H6" i="4"/>
  <c r="H4" i="4"/>
  <c r="J14" i="3"/>
  <c r="K14" i="3" s="1"/>
  <c r="J5" i="3"/>
  <c r="K5" i="3" s="1"/>
  <c r="L5" i="3" s="1"/>
  <c r="M5" i="3" s="1"/>
  <c r="L97" i="6"/>
  <c r="K77" i="6"/>
  <c r="K82" i="6"/>
  <c r="K72" i="6" s="1"/>
  <c r="K8" i="1" s="1"/>
  <c r="L101" i="6"/>
  <c r="L102" i="6" s="1"/>
  <c r="L80" i="6" s="1"/>
  <c r="M2" i="4"/>
  <c r="M21" i="3"/>
  <c r="G4" i="4"/>
  <c r="E4" i="4"/>
  <c r="G73" i="6"/>
  <c r="F73" i="6"/>
  <c r="E73" i="6"/>
  <c r="D73" i="6"/>
  <c r="G72" i="6"/>
  <c r="F72" i="6"/>
  <c r="E72" i="6"/>
  <c r="D72" i="6"/>
  <c r="G71" i="6"/>
  <c r="F71" i="6"/>
  <c r="E71" i="6"/>
  <c r="D71" i="6"/>
  <c r="C73" i="6"/>
  <c r="C72" i="6"/>
  <c r="C71" i="6"/>
  <c r="G47" i="6"/>
  <c r="F47" i="6"/>
  <c r="E47" i="6"/>
  <c r="D47" i="6"/>
  <c r="G46" i="6"/>
  <c r="F46" i="6"/>
  <c r="E46" i="6"/>
  <c r="D46" i="6"/>
  <c r="C47" i="6"/>
  <c r="C46" i="6"/>
  <c r="G43" i="6"/>
  <c r="F43" i="6"/>
  <c r="E43" i="6"/>
  <c r="D43" i="6"/>
  <c r="G42" i="6"/>
  <c r="F42" i="6"/>
  <c r="E42" i="6"/>
  <c r="D42" i="6"/>
  <c r="C43" i="6"/>
  <c r="C42" i="6"/>
  <c r="F19" i="6"/>
  <c r="F38" i="6" s="1"/>
  <c r="E19" i="6"/>
  <c r="E38" i="6" s="1"/>
  <c r="D19" i="6"/>
  <c r="D38" i="6" s="1"/>
  <c r="G18" i="6"/>
  <c r="G37" i="6" s="1"/>
  <c r="F18" i="6"/>
  <c r="F37" i="6" s="1"/>
  <c r="E18" i="6"/>
  <c r="E37" i="6" s="1"/>
  <c r="D18" i="6"/>
  <c r="D37" i="6" s="1"/>
  <c r="G17" i="6"/>
  <c r="G36" i="6" s="1"/>
  <c r="F17" i="6"/>
  <c r="F36" i="6" s="1"/>
  <c r="E17" i="6"/>
  <c r="E36" i="6" s="1"/>
  <c r="D17" i="6"/>
  <c r="D36" i="6" s="1"/>
  <c r="G16" i="6"/>
  <c r="G35" i="6" s="1"/>
  <c r="F16" i="6"/>
  <c r="F35" i="6" s="1"/>
  <c r="E16" i="6"/>
  <c r="E35" i="6" s="1"/>
  <c r="D16" i="6"/>
  <c r="D35" i="6" s="1"/>
  <c r="G15" i="6"/>
  <c r="G34" i="6" s="1"/>
  <c r="F15" i="6"/>
  <c r="F34" i="6" s="1"/>
  <c r="E15" i="6"/>
  <c r="E34" i="6" s="1"/>
  <c r="D15" i="6"/>
  <c r="D34" i="6" s="1"/>
  <c r="G14" i="6"/>
  <c r="G33" i="6" s="1"/>
  <c r="F14" i="6"/>
  <c r="F33" i="6" s="1"/>
  <c r="E14" i="6"/>
  <c r="E33" i="6" s="1"/>
  <c r="D14" i="6"/>
  <c r="D33" i="6" s="1"/>
  <c r="G12" i="6"/>
  <c r="G31" i="6" s="1"/>
  <c r="F12" i="6"/>
  <c r="F31" i="6" s="1"/>
  <c r="E12" i="6"/>
  <c r="E31" i="6" s="1"/>
  <c r="D12" i="6"/>
  <c r="D31" i="6" s="1"/>
  <c r="G9" i="6"/>
  <c r="G29" i="6" s="1"/>
  <c r="F9" i="6"/>
  <c r="F29" i="6" s="1"/>
  <c r="E9" i="6"/>
  <c r="E29" i="6" s="1"/>
  <c r="D9" i="6"/>
  <c r="D29" i="6" s="1"/>
  <c r="G8" i="6"/>
  <c r="G28" i="6" s="1"/>
  <c r="D8" i="6"/>
  <c r="D28" i="6" s="1"/>
  <c r="G7" i="6"/>
  <c r="G27" i="6" s="1"/>
  <c r="F7" i="6"/>
  <c r="F27" i="6" s="1"/>
  <c r="E7" i="6"/>
  <c r="E27" i="6" s="1"/>
  <c r="D7" i="6"/>
  <c r="D27" i="6" s="1"/>
  <c r="G6" i="6"/>
  <c r="G26" i="6" s="1"/>
  <c r="F6" i="6"/>
  <c r="F26" i="6" s="1"/>
  <c r="E6" i="6"/>
  <c r="E26" i="6" s="1"/>
  <c r="D6" i="6"/>
  <c r="D26" i="6" s="1"/>
  <c r="G5" i="6"/>
  <c r="F5" i="6"/>
  <c r="E5" i="6"/>
  <c r="D5" i="6"/>
  <c r="D25" i="6" s="1"/>
  <c r="C19" i="6"/>
  <c r="C38" i="6" s="1"/>
  <c r="C18" i="6"/>
  <c r="C37" i="6" s="1"/>
  <c r="C17" i="6"/>
  <c r="C36" i="6" s="1"/>
  <c r="C16" i="6"/>
  <c r="C35" i="6" s="1"/>
  <c r="C15" i="6"/>
  <c r="C34" i="6" s="1"/>
  <c r="C14" i="6"/>
  <c r="C33" i="6" s="1"/>
  <c r="C12" i="6"/>
  <c r="C31" i="6" s="1"/>
  <c r="C9" i="6"/>
  <c r="C29" i="6" s="1"/>
  <c r="C8" i="6"/>
  <c r="C28" i="6" s="1"/>
  <c r="C7" i="6"/>
  <c r="C27" i="6" s="1"/>
  <c r="C6" i="6"/>
  <c r="C26" i="6" s="1"/>
  <c r="C5" i="6"/>
  <c r="C25" i="6" s="1"/>
  <c r="G94" i="6"/>
  <c r="F94" i="6"/>
  <c r="E94" i="6"/>
  <c r="D94" i="6"/>
  <c r="C94" i="6"/>
  <c r="D89" i="6"/>
  <c r="C86" i="6"/>
  <c r="F93" i="6"/>
  <c r="D84" i="6"/>
  <c r="G82" i="6"/>
  <c r="F82" i="6"/>
  <c r="D81" i="6"/>
  <c r="F91" i="6"/>
  <c r="D80" i="6"/>
  <c r="C80" i="6"/>
  <c r="C82" i="6" s="1"/>
  <c r="G78" i="6"/>
  <c r="F78" i="6"/>
  <c r="E78" i="6"/>
  <c r="D78" i="6"/>
  <c r="C78" i="6"/>
  <c r="G53" i="6"/>
  <c r="F53" i="6"/>
  <c r="E53" i="6"/>
  <c r="D53" i="6"/>
  <c r="L23" i="6"/>
  <c r="L30" i="6" s="1"/>
  <c r="L41" i="6" s="1"/>
  <c r="L70" i="6" s="1"/>
  <c r="K23" i="6"/>
  <c r="K30" i="6" s="1"/>
  <c r="K41" i="6" s="1"/>
  <c r="K70" i="6" s="1"/>
  <c r="J23" i="6"/>
  <c r="J30" i="6" s="1"/>
  <c r="J41" i="6" s="1"/>
  <c r="J70" i="6" s="1"/>
  <c r="I23" i="6"/>
  <c r="I30" i="6" s="1"/>
  <c r="I41" i="6" s="1"/>
  <c r="I70" i="6" s="1"/>
  <c r="H23" i="6"/>
  <c r="H30" i="6" s="1"/>
  <c r="H41" i="6" s="1"/>
  <c r="H70" i="6" s="1"/>
  <c r="G23" i="6"/>
  <c r="G30" i="6" s="1"/>
  <c r="G41" i="6" s="1"/>
  <c r="G70" i="6" s="1"/>
  <c r="F23" i="6"/>
  <c r="F30" i="6" s="1"/>
  <c r="F41" i="6" s="1"/>
  <c r="F70" i="6" s="1"/>
  <c r="E23" i="6"/>
  <c r="E30" i="6" s="1"/>
  <c r="E41" i="6" s="1"/>
  <c r="E70" i="6" s="1"/>
  <c r="D23" i="6"/>
  <c r="D30" i="6" s="1"/>
  <c r="D41" i="6" s="1"/>
  <c r="D70" i="6" s="1"/>
  <c r="C23" i="6"/>
  <c r="C30" i="6" s="1"/>
  <c r="C41" i="6" s="1"/>
  <c r="C70" i="6" s="1"/>
  <c r="G7" i="4"/>
  <c r="G6" i="4" s="1"/>
  <c r="G10" i="6" l="1"/>
  <c r="E25" i="6"/>
  <c r="F25" i="6"/>
  <c r="G25" i="6"/>
  <c r="M55" i="6"/>
  <c r="N55" i="6" s="1"/>
  <c r="M60" i="6"/>
  <c r="M44" i="6" s="1"/>
  <c r="M65" i="6"/>
  <c r="M48" i="6" s="1"/>
  <c r="F20" i="4"/>
  <c r="H27" i="4"/>
  <c r="H25" i="4"/>
  <c r="H23" i="4"/>
  <c r="H18" i="4"/>
  <c r="H16" i="4"/>
  <c r="H29" i="4"/>
  <c r="H21" i="4"/>
  <c r="N16" i="4"/>
  <c r="E27" i="4"/>
  <c r="E23" i="4"/>
  <c r="E25" i="4"/>
  <c r="E18" i="4"/>
  <c r="E16" i="4"/>
  <c r="E29" i="4"/>
  <c r="E21" i="4"/>
  <c r="G27" i="4"/>
  <c r="G25" i="4"/>
  <c r="G21" i="4"/>
  <c r="G29" i="4"/>
  <c r="G23" i="4"/>
  <c r="G16" i="4"/>
  <c r="G18" i="4"/>
  <c r="N12" i="4"/>
  <c r="M10" i="3"/>
  <c r="J34" i="6"/>
  <c r="K34" i="6" s="1"/>
  <c r="L34" i="6" s="1"/>
  <c r="M34" i="6" s="1"/>
  <c r="N34" i="6" s="1"/>
  <c r="J31" i="6"/>
  <c r="K31" i="6" s="1"/>
  <c r="J36" i="6"/>
  <c r="K36" i="6" s="1"/>
  <c r="J27" i="6"/>
  <c r="K27" i="6" s="1"/>
  <c r="J29" i="6"/>
  <c r="K29" i="6" s="1"/>
  <c r="J33" i="6"/>
  <c r="K33" i="6" s="1"/>
  <c r="L33" i="6" s="1"/>
  <c r="M33" i="6" s="1"/>
  <c r="N33" i="6" s="1"/>
  <c r="J35" i="6"/>
  <c r="K35" i="6" s="1"/>
  <c r="J37" i="6"/>
  <c r="K37" i="6" s="1"/>
  <c r="J26" i="6"/>
  <c r="K26" i="6" s="1"/>
  <c r="N5" i="3"/>
  <c r="L14" i="3"/>
  <c r="L90" i="6"/>
  <c r="K78" i="6"/>
  <c r="K71" i="6" s="1"/>
  <c r="K5" i="1" s="1"/>
  <c r="L98" i="6"/>
  <c r="L99" i="6" s="1"/>
  <c r="D91" i="6"/>
  <c r="E91" i="6"/>
  <c r="G93" i="6"/>
  <c r="H93" i="6"/>
  <c r="D93" i="6"/>
  <c r="E93" i="6"/>
  <c r="G44" i="6"/>
  <c r="H55" i="6" s="1"/>
  <c r="E48" i="6"/>
  <c r="D48" i="6"/>
  <c r="E44" i="6"/>
  <c r="G48" i="6"/>
  <c r="H56" i="6" s="1"/>
  <c r="J56" i="6" s="1"/>
  <c r="F44" i="6"/>
  <c r="E20" i="6"/>
  <c r="D44" i="6"/>
  <c r="F48" i="6"/>
  <c r="F20" i="6"/>
  <c r="C48" i="6"/>
  <c r="D56" i="6" s="1"/>
  <c r="D86" i="6"/>
  <c r="D10" i="6"/>
  <c r="D20" i="6"/>
  <c r="C44" i="6"/>
  <c r="D55" i="6" s="1"/>
  <c r="C10" i="6"/>
  <c r="D82" i="6"/>
  <c r="E86" i="6"/>
  <c r="C20" i="6"/>
  <c r="E82" i="6"/>
  <c r="G86" i="6"/>
  <c r="E12" i="4"/>
  <c r="F12" i="4"/>
  <c r="G12" i="4"/>
  <c r="E7" i="4"/>
  <c r="E6" i="4" s="1"/>
  <c r="F7" i="4"/>
  <c r="F6" i="4" s="1"/>
  <c r="G24" i="2"/>
  <c r="G14" i="2"/>
  <c r="H14" i="2"/>
  <c r="I14" i="2"/>
  <c r="G7" i="2"/>
  <c r="D3" i="2"/>
  <c r="D2" i="3" s="1"/>
  <c r="E3" i="2"/>
  <c r="E2" i="3" s="1"/>
  <c r="F3" i="2"/>
  <c r="F2" i="3" s="1"/>
  <c r="G3" i="2"/>
  <c r="G2" i="3" s="1"/>
  <c r="H3" i="2"/>
  <c r="H2" i="3" s="1"/>
  <c r="I3" i="2"/>
  <c r="I2" i="3" s="1"/>
  <c r="J3" i="2"/>
  <c r="J2" i="3" s="1"/>
  <c r="K3" i="2"/>
  <c r="K2" i="3" s="1"/>
  <c r="K21" i="3" s="1"/>
  <c r="L3" i="2"/>
  <c r="L2" i="3" s="1"/>
  <c r="C3" i="2"/>
  <c r="C2" i="3" s="1"/>
  <c r="F24" i="2"/>
  <c r="E24" i="2"/>
  <c r="D24" i="2"/>
  <c r="C24" i="2"/>
  <c r="F14" i="2"/>
  <c r="D14" i="2"/>
  <c r="C13" i="2"/>
  <c r="F7" i="2"/>
  <c r="E7" i="2"/>
  <c r="D7" i="2"/>
  <c r="C7" i="2"/>
  <c r="F8" i="6"/>
  <c r="F10" i="6" s="1"/>
  <c r="C57" i="1"/>
  <c r="D57" i="1"/>
  <c r="H46" i="1"/>
  <c r="I46" i="1"/>
  <c r="C46" i="1"/>
  <c r="D46" i="1"/>
  <c r="E46" i="1"/>
  <c r="G37" i="1"/>
  <c r="H37" i="1"/>
  <c r="C37" i="1"/>
  <c r="D37" i="1"/>
  <c r="E37" i="1"/>
  <c r="C30" i="1"/>
  <c r="D30" i="1"/>
  <c r="H18" i="1"/>
  <c r="I18" i="1"/>
  <c r="C18" i="1"/>
  <c r="D18" i="1"/>
  <c r="E18" i="1"/>
  <c r="F18" i="1"/>
  <c r="F46" i="1"/>
  <c r="F37" i="1"/>
  <c r="G19" i="6"/>
  <c r="G46" i="1"/>
  <c r="G18" i="1"/>
  <c r="A17" i="4" l="1"/>
  <c r="J25" i="6"/>
  <c r="K25" i="6" s="1"/>
  <c r="L25" i="6" s="1"/>
  <c r="M25" i="6" s="1"/>
  <c r="N25" i="6" s="1"/>
  <c r="K56" i="6"/>
  <c r="L56" i="6" s="1"/>
  <c r="J93" i="6"/>
  <c r="J92" i="6" s="1"/>
  <c r="G55" i="6"/>
  <c r="C21" i="6"/>
  <c r="F55" i="6"/>
  <c r="J46" i="6"/>
  <c r="J42" i="1" s="1"/>
  <c r="N60" i="6"/>
  <c r="N44" i="6" s="1"/>
  <c r="J42" i="6"/>
  <c r="J41" i="1" s="1"/>
  <c r="J47" i="6"/>
  <c r="N65" i="6"/>
  <c r="N48" i="6" s="1"/>
  <c r="E56" i="6"/>
  <c r="J43" i="6"/>
  <c r="F10" i="3"/>
  <c r="F11" i="3" s="1"/>
  <c r="E10" i="3"/>
  <c r="E11" i="3" s="1"/>
  <c r="G20" i="4"/>
  <c r="E20" i="4"/>
  <c r="H20" i="4"/>
  <c r="G10" i="3"/>
  <c r="G11" i="3" s="1"/>
  <c r="J11" i="4"/>
  <c r="J10" i="4"/>
  <c r="N10" i="3"/>
  <c r="C14" i="2"/>
  <c r="C16" i="2" s="1"/>
  <c r="C18" i="2" s="1"/>
  <c r="C25" i="2" s="1"/>
  <c r="C13" i="3"/>
  <c r="C14" i="3" s="1"/>
  <c r="L31" i="6"/>
  <c r="L37" i="6"/>
  <c r="L26" i="6"/>
  <c r="L29" i="6"/>
  <c r="L35" i="6"/>
  <c r="L36" i="6"/>
  <c r="L27" i="6"/>
  <c r="M14" i="3"/>
  <c r="L76" i="6"/>
  <c r="M100" i="6"/>
  <c r="L81" i="6"/>
  <c r="I8" i="3"/>
  <c r="I21" i="3"/>
  <c r="H21" i="3"/>
  <c r="H8" i="3"/>
  <c r="G8" i="3"/>
  <c r="G21" i="3"/>
  <c r="J2" i="4"/>
  <c r="J21" i="3"/>
  <c r="F8" i="3"/>
  <c r="F21" i="3"/>
  <c r="C2" i="4"/>
  <c r="C21" i="3"/>
  <c r="E8" i="3"/>
  <c r="E21" i="3"/>
  <c r="L2" i="4"/>
  <c r="L21" i="3"/>
  <c r="D2" i="4"/>
  <c r="D21" i="3"/>
  <c r="G56" i="6"/>
  <c r="F56" i="6"/>
  <c r="E55" i="6"/>
  <c r="G20" i="6"/>
  <c r="G21" i="6" s="1"/>
  <c r="G38" i="6"/>
  <c r="J38" i="6" s="1"/>
  <c r="K38" i="6" s="1"/>
  <c r="L38" i="6" s="1"/>
  <c r="F21" i="6"/>
  <c r="F28" i="6"/>
  <c r="J28" i="6" s="1"/>
  <c r="K28" i="6" s="1"/>
  <c r="L28" i="6" s="1"/>
  <c r="M28" i="6" s="1"/>
  <c r="N28" i="6" s="1"/>
  <c r="H13" i="4"/>
  <c r="I2" i="4"/>
  <c r="I15" i="4" s="1"/>
  <c r="F31" i="1"/>
  <c r="F18" i="2"/>
  <c r="C31" i="1"/>
  <c r="G31" i="1"/>
  <c r="G18" i="2"/>
  <c r="D31" i="1"/>
  <c r="D21" i="6"/>
  <c r="H31" i="1"/>
  <c r="F13" i="4"/>
  <c r="D16" i="2"/>
  <c r="D18" i="2" s="1"/>
  <c r="D25" i="2" s="1"/>
  <c r="E31" i="1"/>
  <c r="E8" i="6"/>
  <c r="E10" i="6" s="1"/>
  <c r="G58" i="1"/>
  <c r="G59" i="1" s="1"/>
  <c r="G13" i="4"/>
  <c r="H58" i="1"/>
  <c r="H59" i="1" s="1"/>
  <c r="I58" i="1"/>
  <c r="K2" i="4"/>
  <c r="E2" i="4"/>
  <c r="F2" i="4"/>
  <c r="G2" i="4"/>
  <c r="H2" i="4"/>
  <c r="C58" i="1"/>
  <c r="C59" i="1" s="1"/>
  <c r="E58" i="1"/>
  <c r="E59" i="1" s="1"/>
  <c r="D58" i="1"/>
  <c r="D59" i="1" s="1"/>
  <c r="F58" i="1"/>
  <c r="F59" i="1" s="1"/>
  <c r="J12" i="3" l="1"/>
  <c r="L12" i="3"/>
  <c r="M12" i="3"/>
  <c r="N12" i="3"/>
  <c r="I12" i="3"/>
  <c r="K12" i="3"/>
  <c r="F61" i="1"/>
  <c r="G61" i="1"/>
  <c r="M56" i="6"/>
  <c r="N56" i="6" s="1"/>
  <c r="K93" i="6"/>
  <c r="L93" i="6" s="1"/>
  <c r="J85" i="6"/>
  <c r="J86" i="6" s="1"/>
  <c r="K103" i="6"/>
  <c r="J94" i="6"/>
  <c r="J11" i="2" s="1"/>
  <c r="D22" i="6"/>
  <c r="J66" i="6"/>
  <c r="K46" i="6"/>
  <c r="L46" i="6" s="1"/>
  <c r="L66" i="6" s="1"/>
  <c r="J14" i="6"/>
  <c r="J50" i="1" s="1"/>
  <c r="K43" i="6"/>
  <c r="K14" i="6" s="1"/>
  <c r="K50" i="1" s="1"/>
  <c r="J51" i="6"/>
  <c r="K51" i="6"/>
  <c r="J15" i="6"/>
  <c r="J51" i="1" s="1"/>
  <c r="K47" i="6"/>
  <c r="L47" i="6" s="1"/>
  <c r="J61" i="6"/>
  <c r="K42" i="6"/>
  <c r="L42" i="6" s="1"/>
  <c r="K10" i="4"/>
  <c r="K11" i="4"/>
  <c r="L11" i="4" s="1"/>
  <c r="M11" i="4" s="1"/>
  <c r="N11" i="4" s="1"/>
  <c r="G25" i="2"/>
  <c r="G16" i="3"/>
  <c r="F25" i="2"/>
  <c r="F16" i="3"/>
  <c r="M29" i="6"/>
  <c r="M36" i="6"/>
  <c r="M26" i="6"/>
  <c r="M27" i="6"/>
  <c r="M35" i="6"/>
  <c r="E25" i="2"/>
  <c r="E16" i="3"/>
  <c r="M37" i="6"/>
  <c r="N14" i="3"/>
  <c r="M38" i="6"/>
  <c r="M31" i="6"/>
  <c r="M101" i="6"/>
  <c r="M102" i="6" s="1"/>
  <c r="M80" i="6" s="1"/>
  <c r="L82" i="6"/>
  <c r="L72" i="6" s="1"/>
  <c r="L8" i="1" s="1"/>
  <c r="L88" i="6"/>
  <c r="C15" i="4"/>
  <c r="C9" i="4"/>
  <c r="D15" i="4"/>
  <c r="D9" i="4"/>
  <c r="C61" i="1"/>
  <c r="E28" i="6"/>
  <c r="G22" i="6"/>
  <c r="H15" i="4"/>
  <c r="H9" i="4"/>
  <c r="E61" i="1"/>
  <c r="D61" i="1"/>
  <c r="H61" i="1"/>
  <c r="E15" i="4"/>
  <c r="E9" i="4"/>
  <c r="G15" i="4"/>
  <c r="G9" i="4"/>
  <c r="F15" i="4"/>
  <c r="F9" i="4"/>
  <c r="M93" i="6" l="1"/>
  <c r="N93" i="6" s="1"/>
  <c r="C6" i="10"/>
  <c r="B4" i="7"/>
  <c r="J73" i="6"/>
  <c r="J10" i="1" s="1"/>
  <c r="K104" i="6"/>
  <c r="K105" i="6" s="1"/>
  <c r="K106" i="6" s="1"/>
  <c r="K66" i="6"/>
  <c r="K42" i="1"/>
  <c r="B13" i="7"/>
  <c r="L42" i="1"/>
  <c r="M46" i="6"/>
  <c r="N46" i="6" s="1"/>
  <c r="L43" i="6"/>
  <c r="J46" i="1"/>
  <c r="M42" i="6"/>
  <c r="L61" i="6"/>
  <c r="D13" i="7" s="1"/>
  <c r="L41" i="1"/>
  <c r="K15" i="6"/>
  <c r="K51" i="1" s="1"/>
  <c r="M47" i="6"/>
  <c r="M15" i="6" s="1"/>
  <c r="M51" i="1" s="1"/>
  <c r="K61" i="6"/>
  <c r="K41" i="1"/>
  <c r="L15" i="6"/>
  <c r="L51" i="1" s="1"/>
  <c r="L10" i="4"/>
  <c r="M10" i="4" s="1"/>
  <c r="N10" i="4" s="1"/>
  <c r="N38" i="6"/>
  <c r="N29" i="6"/>
  <c r="N35" i="6"/>
  <c r="N27" i="6"/>
  <c r="N37" i="6"/>
  <c r="N26" i="6"/>
  <c r="N31" i="6"/>
  <c r="N36" i="6"/>
  <c r="M90" i="6"/>
  <c r="M97" i="6"/>
  <c r="L77" i="6"/>
  <c r="E21" i="6"/>
  <c r="F22" i="6" s="1"/>
  <c r="H21" i="6"/>
  <c r="C9" i="7" l="1"/>
  <c r="C10" i="7" s="1"/>
  <c r="D8" i="10"/>
  <c r="K84" i="6"/>
  <c r="L46" i="1"/>
  <c r="K46" i="1"/>
  <c r="C13" i="7"/>
  <c r="N66" i="6"/>
  <c r="N42" i="1"/>
  <c r="M42" i="1"/>
  <c r="M66" i="6"/>
  <c r="M61" i="6"/>
  <c r="M41" i="1"/>
  <c r="M43" i="6"/>
  <c r="M14" i="6" s="1"/>
  <c r="M50" i="1" s="1"/>
  <c r="L14" i="6"/>
  <c r="L50" i="1" s="1"/>
  <c r="N47" i="6"/>
  <c r="N15" i="6" s="1"/>
  <c r="N51" i="1" s="1"/>
  <c r="L51" i="6"/>
  <c r="M51" i="6"/>
  <c r="N42" i="6"/>
  <c r="M98" i="6"/>
  <c r="M99" i="6" s="1"/>
  <c r="N100" i="6"/>
  <c r="M81" i="6"/>
  <c r="L78" i="6"/>
  <c r="L71" i="6" s="1"/>
  <c r="L5" i="1" s="1"/>
  <c r="E22" i="6"/>
  <c r="J18" i="1"/>
  <c r="H22" i="6"/>
  <c r="I22" i="6"/>
  <c r="H7" i="2"/>
  <c r="H18" i="2" s="1"/>
  <c r="I7" i="2"/>
  <c r="I18" i="2" s="1"/>
  <c r="I16" i="3" s="1"/>
  <c r="K92" i="6" l="1"/>
  <c r="M46" i="1"/>
  <c r="E13" i="7"/>
  <c r="N51" i="6"/>
  <c r="N61" i="6"/>
  <c r="F13" i="7" s="1"/>
  <c r="N41" i="1"/>
  <c r="N46" i="1" s="1"/>
  <c r="N43" i="6"/>
  <c r="N14" i="6" s="1"/>
  <c r="N50" i="1" s="1"/>
  <c r="H25" i="2"/>
  <c r="H16" i="3"/>
  <c r="M76" i="6"/>
  <c r="M82" i="6"/>
  <c r="M72" i="6" s="1"/>
  <c r="M8" i="1" s="1"/>
  <c r="N101" i="6"/>
  <c r="N102" i="6" s="1"/>
  <c r="N80" i="6" s="1"/>
  <c r="I25" i="2"/>
  <c r="K85" i="6" l="1"/>
  <c r="K86" i="6" s="1"/>
  <c r="L103" i="6"/>
  <c r="L104" i="6" s="1"/>
  <c r="L105" i="6" s="1"/>
  <c r="L106" i="6" s="1"/>
  <c r="K94" i="6"/>
  <c r="K11" i="2" s="1"/>
  <c r="N90" i="6"/>
  <c r="N81" i="6" s="1"/>
  <c r="N82" i="6" s="1"/>
  <c r="N72" i="6" s="1"/>
  <c r="N8" i="1" s="1"/>
  <c r="M88" i="6"/>
  <c r="D6" i="10" l="1"/>
  <c r="C4" i="7"/>
  <c r="E8" i="10"/>
  <c r="D9" i="7"/>
  <c r="D10" i="7" s="1"/>
  <c r="L84" i="6"/>
  <c r="K73" i="6"/>
  <c r="K10" i="1" s="1"/>
  <c r="K18" i="1" s="1"/>
  <c r="N97" i="6"/>
  <c r="M77" i="6"/>
  <c r="I37" i="1"/>
  <c r="I59" i="1" s="1"/>
  <c r="L92" i="6" l="1"/>
  <c r="I31" i="1"/>
  <c r="I61" i="1" s="1"/>
  <c r="K23" i="4"/>
  <c r="K18" i="4"/>
  <c r="K20" i="4" s="1"/>
  <c r="K21" i="4"/>
  <c r="K29" i="4"/>
  <c r="K27" i="4"/>
  <c r="K25" i="4"/>
  <c r="L23" i="4"/>
  <c r="L21" i="4"/>
  <c r="L27" i="4"/>
  <c r="L18" i="4"/>
  <c r="L20" i="4" s="1"/>
  <c r="L29" i="4"/>
  <c r="L25" i="4"/>
  <c r="K3" i="4"/>
  <c r="K5" i="2" s="1"/>
  <c r="L3" i="4"/>
  <c r="L5" i="2" s="1"/>
  <c r="M78" i="6"/>
  <c r="M71" i="6" s="1"/>
  <c r="M5" i="1" s="1"/>
  <c r="N98" i="6"/>
  <c r="N99" i="6" s="1"/>
  <c r="L85" i="6" l="1"/>
  <c r="L86" i="6" s="1"/>
  <c r="M103" i="6"/>
  <c r="M104" i="6" s="1"/>
  <c r="M105" i="6" s="1"/>
  <c r="M106" i="6" s="1"/>
  <c r="L94" i="6"/>
  <c r="L11" i="2" s="1"/>
  <c r="M23" i="4"/>
  <c r="M21" i="4"/>
  <c r="M27" i="4"/>
  <c r="M18" i="4"/>
  <c r="M20" i="4" s="1"/>
  <c r="M29" i="4"/>
  <c r="M25" i="4"/>
  <c r="N23" i="4"/>
  <c r="N21" i="4"/>
  <c r="N18" i="4"/>
  <c r="N20" i="4" s="1"/>
  <c r="N27" i="4"/>
  <c r="N25" i="4"/>
  <c r="N29" i="4"/>
  <c r="K5" i="4"/>
  <c r="K7" i="4" s="1"/>
  <c r="L5" i="4"/>
  <c r="L7" i="4" s="1"/>
  <c r="K3" i="3"/>
  <c r="L3" i="3"/>
  <c r="M3" i="4"/>
  <c r="M3" i="3" s="1"/>
  <c r="N3" i="4"/>
  <c r="N5" i="4" s="1"/>
  <c r="N7" i="4" s="1"/>
  <c r="L8" i="6"/>
  <c r="L26" i="1" s="1"/>
  <c r="L5" i="6"/>
  <c r="L9" i="6"/>
  <c r="L28" i="1" s="1"/>
  <c r="L16" i="6"/>
  <c r="L52" i="1" s="1"/>
  <c r="L19" i="6"/>
  <c r="L55" i="1" s="1"/>
  <c r="L17" i="6"/>
  <c r="L53" i="1" s="1"/>
  <c r="L12" i="6"/>
  <c r="L6" i="6"/>
  <c r="L23" i="1" s="1"/>
  <c r="L18" i="6"/>
  <c r="L54" i="1" s="1"/>
  <c r="L7" i="6"/>
  <c r="L25" i="1" s="1"/>
  <c r="K8" i="6"/>
  <c r="K26" i="1" s="1"/>
  <c r="K5" i="6"/>
  <c r="K9" i="6"/>
  <c r="K28" i="1" s="1"/>
  <c r="K7" i="6"/>
  <c r="K25" i="1" s="1"/>
  <c r="K12" i="6"/>
  <c r="K19" i="6"/>
  <c r="K55" i="1" s="1"/>
  <c r="K18" i="6"/>
  <c r="K54" i="1" s="1"/>
  <c r="K16" i="6"/>
  <c r="K52" i="1" s="1"/>
  <c r="K6" i="6"/>
  <c r="K23" i="1" s="1"/>
  <c r="K17" i="6"/>
  <c r="K53" i="1" s="1"/>
  <c r="N76" i="6"/>
  <c r="L73" i="6" l="1"/>
  <c r="L10" i="1" s="1"/>
  <c r="L18" i="1" s="1"/>
  <c r="M84" i="6"/>
  <c r="F8" i="10"/>
  <c r="E9" i="7"/>
  <c r="E10" i="7" s="1"/>
  <c r="E6" i="10"/>
  <c r="D4" i="7"/>
  <c r="M5" i="4"/>
  <c r="M7" i="4" s="1"/>
  <c r="L4" i="3"/>
  <c r="L6" i="2" s="1"/>
  <c r="L7" i="2" s="1"/>
  <c r="M13" i="3"/>
  <c r="M13" i="2" s="1"/>
  <c r="L13" i="3"/>
  <c r="L13" i="2" s="1"/>
  <c r="M5" i="2"/>
  <c r="M12" i="6" s="1"/>
  <c r="M4" i="3"/>
  <c r="M6" i="2" s="1"/>
  <c r="K10" i="6"/>
  <c r="K22" i="1"/>
  <c r="L48" i="1"/>
  <c r="L57" i="1" s="1"/>
  <c r="L58" i="1" s="1"/>
  <c r="L20" i="6"/>
  <c r="K48" i="1"/>
  <c r="K57" i="1" s="1"/>
  <c r="K58" i="1" s="1"/>
  <c r="K20" i="6"/>
  <c r="N5" i="2"/>
  <c r="N3" i="3"/>
  <c r="N13" i="3" s="1"/>
  <c r="N13" i="2" s="1"/>
  <c r="L10" i="6"/>
  <c r="L22" i="1"/>
  <c r="N88" i="6"/>
  <c r="M92" i="6" l="1"/>
  <c r="L6" i="3"/>
  <c r="M7" i="6"/>
  <c r="M25" i="1" s="1"/>
  <c r="M18" i="6"/>
  <c r="M54" i="1" s="1"/>
  <c r="M9" i="6"/>
  <c r="M28" i="1" s="1"/>
  <c r="M7" i="2"/>
  <c r="M6" i="6"/>
  <c r="M23" i="1" s="1"/>
  <c r="M5" i="6"/>
  <c r="M16" i="6"/>
  <c r="M52" i="1" s="1"/>
  <c r="M8" i="6"/>
  <c r="M26" i="1" s="1"/>
  <c r="M17" i="6"/>
  <c r="M53" i="1" s="1"/>
  <c r="M19" i="6"/>
  <c r="M55" i="1" s="1"/>
  <c r="M6" i="3"/>
  <c r="N4" i="3"/>
  <c r="N6" i="2" s="1"/>
  <c r="N7" i="2" s="1"/>
  <c r="N8" i="6"/>
  <c r="N26" i="1" s="1"/>
  <c r="N5" i="6"/>
  <c r="N18" i="6"/>
  <c r="N54" i="1" s="1"/>
  <c r="N9" i="6"/>
  <c r="N28" i="1" s="1"/>
  <c r="N12" i="6"/>
  <c r="N19" i="6"/>
  <c r="N55" i="1" s="1"/>
  <c r="N7" i="6"/>
  <c r="N25" i="1" s="1"/>
  <c r="N17" i="6"/>
  <c r="N53" i="1" s="1"/>
  <c r="N6" i="6"/>
  <c r="N23" i="1" s="1"/>
  <c r="N16" i="6"/>
  <c r="N52" i="1" s="1"/>
  <c r="K21" i="6"/>
  <c r="M48" i="1"/>
  <c r="L21" i="6"/>
  <c r="N77" i="6"/>
  <c r="N78" i="6" s="1"/>
  <c r="N71" i="6" s="1"/>
  <c r="N5" i="1" s="1"/>
  <c r="M85" i="6" l="1"/>
  <c r="M86" i="6" s="1"/>
  <c r="N103" i="6"/>
  <c r="N104" i="6" s="1"/>
  <c r="N105" i="6" s="1"/>
  <c r="N106" i="6" s="1"/>
  <c r="M94" i="6"/>
  <c r="M11" i="2" s="1"/>
  <c r="M10" i="6"/>
  <c r="M57" i="1"/>
  <c r="M58" i="1" s="1"/>
  <c r="M20" i="6"/>
  <c r="M22" i="1"/>
  <c r="N6" i="3"/>
  <c r="N10" i="6"/>
  <c r="N22" i="1"/>
  <c r="N48" i="1"/>
  <c r="N57" i="1" s="1"/>
  <c r="N58" i="1" s="1"/>
  <c r="N20" i="6"/>
  <c r="L22" i="6"/>
  <c r="M73" i="6" l="1"/>
  <c r="M10" i="1" s="1"/>
  <c r="M18" i="1" s="1"/>
  <c r="N84" i="6"/>
  <c r="F9" i="7"/>
  <c r="F10" i="7" s="1"/>
  <c r="G8" i="10"/>
  <c r="F6" i="10"/>
  <c r="E4" i="7"/>
  <c r="M21" i="6"/>
  <c r="M22" i="6" s="1"/>
  <c r="F7" i="10" s="1"/>
  <c r="N21" i="6"/>
  <c r="E7" i="10"/>
  <c r="D5" i="7"/>
  <c r="N92" i="6" l="1"/>
  <c r="E5" i="7"/>
  <c r="N22" i="6"/>
  <c r="F5" i="7" s="1"/>
  <c r="N85" i="6" l="1"/>
  <c r="N86" i="6" s="1"/>
  <c r="N73" i="6" s="1"/>
  <c r="N10" i="1" s="1"/>
  <c r="N18" i="1" s="1"/>
  <c r="N94" i="6"/>
  <c r="N11" i="2" s="1"/>
  <c r="G7" i="10"/>
  <c r="F4" i="7" l="1"/>
  <c r="G6" i="10"/>
  <c r="J21" i="4"/>
  <c r="J27" i="4"/>
  <c r="J23" i="4"/>
  <c r="J29" i="4"/>
  <c r="J25" i="4"/>
  <c r="J18" i="4"/>
  <c r="J20" i="4" s="1"/>
  <c r="J3" i="4"/>
  <c r="J5" i="4" l="1"/>
  <c r="J7" i="4" s="1"/>
  <c r="J3" i="3"/>
  <c r="J4" i="3" s="1"/>
  <c r="J6" i="2" s="1"/>
  <c r="J5" i="2"/>
  <c r="J13" i="3" l="1"/>
  <c r="J13" i="2" s="1"/>
  <c r="K13" i="3"/>
  <c r="K13" i="2" s="1"/>
  <c r="K4" i="3"/>
  <c r="J6" i="3"/>
  <c r="J19" i="6"/>
  <c r="J55" i="1" s="1"/>
  <c r="J5" i="6"/>
  <c r="J7" i="6"/>
  <c r="J25" i="1" s="1"/>
  <c r="J17" i="6"/>
  <c r="J53" i="1" s="1"/>
  <c r="J9" i="6"/>
  <c r="J28" i="1" s="1"/>
  <c r="J6" i="6"/>
  <c r="J23" i="1" s="1"/>
  <c r="J12" i="6"/>
  <c r="J8" i="6"/>
  <c r="J26" i="1" s="1"/>
  <c r="J18" i="6"/>
  <c r="J54" i="1" s="1"/>
  <c r="J7" i="2"/>
  <c r="J16" i="6"/>
  <c r="J52" i="1" s="1"/>
  <c r="K6" i="3" l="1"/>
  <c r="K6" i="2"/>
  <c r="K7" i="2" s="1"/>
  <c r="J10" i="6"/>
  <c r="J22" i="1"/>
  <c r="J48" i="1"/>
  <c r="J57" i="1" s="1"/>
  <c r="J20" i="6"/>
  <c r="J58" i="1" l="1"/>
  <c r="J21" i="6"/>
  <c r="J22" i="6" l="1"/>
  <c r="K22" i="6"/>
  <c r="C7" i="10" l="1"/>
  <c r="B5" i="7"/>
  <c r="D7" i="10"/>
  <c r="C5" i="7"/>
  <c r="L50" i="6" l="1"/>
  <c r="L53" i="6" s="1"/>
  <c r="L12" i="2" s="1"/>
  <c r="K50" i="6"/>
  <c r="K53" i="6" s="1"/>
  <c r="K12" i="2" s="1"/>
  <c r="N50" i="6"/>
  <c r="N53" i="6" s="1"/>
  <c r="N12" i="2" s="1"/>
  <c r="M50" i="6"/>
  <c r="M53" i="6" s="1"/>
  <c r="M12" i="2" s="1"/>
  <c r="J50" i="6"/>
  <c r="J53" i="6" s="1"/>
  <c r="J11" i="3"/>
  <c r="J9" i="3" l="1"/>
  <c r="J10" i="2" s="1"/>
  <c r="K11" i="3"/>
  <c r="L11" i="3" s="1"/>
  <c r="M11" i="3" s="1"/>
  <c r="N11" i="3" s="1"/>
  <c r="E3" i="7"/>
  <c r="E14" i="7" s="1"/>
  <c r="E16" i="7" s="1"/>
  <c r="M17" i="2"/>
  <c r="F3" i="7"/>
  <c r="F14" i="7" s="1"/>
  <c r="F16" i="7" s="1"/>
  <c r="N17" i="2"/>
  <c r="I16" i="9"/>
  <c r="J12" i="2"/>
  <c r="C3" i="7"/>
  <c r="C14" i="7" s="1"/>
  <c r="C16" i="7" s="1"/>
  <c r="K17" i="2"/>
  <c r="D3" i="7"/>
  <c r="D14" i="7" s="1"/>
  <c r="D16" i="7" s="1"/>
  <c r="L17" i="2"/>
  <c r="C5" i="10"/>
  <c r="C9" i="10" s="1"/>
  <c r="C22" i="10" s="1"/>
  <c r="J17" i="2" l="1"/>
  <c r="B3" i="7"/>
  <c r="B14" i="7" s="1"/>
  <c r="B16" i="7" s="1"/>
  <c r="J14" i="2"/>
  <c r="K9" i="3"/>
  <c r="K10" i="2" s="1"/>
  <c r="K14" i="2" s="1"/>
  <c r="K18" i="2" s="1"/>
  <c r="J18" i="2" l="1"/>
  <c r="J16" i="3" s="1"/>
  <c r="J18" i="3" s="1"/>
  <c r="J24" i="2" s="1"/>
  <c r="J25" i="2" s="1"/>
  <c r="J28" i="2" s="1"/>
  <c r="L9" i="3"/>
  <c r="L10" i="2" s="1"/>
  <c r="L14" i="2" s="1"/>
  <c r="L18" i="2" s="1"/>
  <c r="K16" i="3"/>
  <c r="K18" i="3" s="1"/>
  <c r="K24" i="2" s="1"/>
  <c r="K25" i="2" s="1"/>
  <c r="K28" i="2" s="1"/>
  <c r="D5" i="10"/>
  <c r="D9" i="10" s="1"/>
  <c r="K29" i="2" l="1"/>
  <c r="P8" i="11" s="1"/>
  <c r="J36" i="3"/>
  <c r="J36" i="1" s="1"/>
  <c r="B2" i="7"/>
  <c r="B6" i="7" s="1"/>
  <c r="B18" i="7" s="1"/>
  <c r="B20" i="7" s="1"/>
  <c r="C2" i="7"/>
  <c r="C6" i="7" s="1"/>
  <c r="C18" i="7" s="1"/>
  <c r="D22" i="10"/>
  <c r="D10" i="10"/>
  <c r="N9" i="3"/>
  <c r="N10" i="2" s="1"/>
  <c r="N14" i="2" s="1"/>
  <c r="N18" i="2" s="1"/>
  <c r="M9" i="3"/>
  <c r="M10" i="2" s="1"/>
  <c r="M14" i="2" s="1"/>
  <c r="M18" i="2" s="1"/>
  <c r="L16" i="3"/>
  <c r="L18" i="3" s="1"/>
  <c r="L24" i="2" s="1"/>
  <c r="L25" i="2" s="1"/>
  <c r="D2" i="7" s="1"/>
  <c r="D6" i="7" s="1"/>
  <c r="D18" i="7" s="1"/>
  <c r="E5" i="10"/>
  <c r="E9" i="10" s="1"/>
  <c r="J37" i="1" l="1"/>
  <c r="J59" i="1" s="1"/>
  <c r="K36" i="3"/>
  <c r="L36" i="3" s="1"/>
  <c r="J24" i="1"/>
  <c r="C30" i="10"/>
  <c r="P10" i="11"/>
  <c r="D11" i="11" s="1"/>
  <c r="D13" i="11" s="1"/>
  <c r="D17" i="11" s="1"/>
  <c r="G5" i="10"/>
  <c r="G9" i="10" s="1"/>
  <c r="N16" i="3"/>
  <c r="N18" i="3" s="1"/>
  <c r="N24" i="2" s="1"/>
  <c r="N25" i="2" s="1"/>
  <c r="F2" i="7" s="1"/>
  <c r="F6" i="7" s="1"/>
  <c r="F18" i="7" s="1"/>
  <c r="F5" i="10"/>
  <c r="F9" i="10" s="1"/>
  <c r="M16" i="3"/>
  <c r="M18" i="3" s="1"/>
  <c r="M24" i="2" s="1"/>
  <c r="M25" i="2" s="1"/>
  <c r="E2" i="7" s="1"/>
  <c r="E6" i="7" s="1"/>
  <c r="E18" i="7" s="1"/>
  <c r="E10" i="10"/>
  <c r="E22" i="10"/>
  <c r="K36" i="1" l="1"/>
  <c r="K37" i="1" s="1"/>
  <c r="K59" i="1" s="1"/>
  <c r="J30" i="1"/>
  <c r="C19" i="7"/>
  <c r="C20" i="7" s="1"/>
  <c r="K24" i="1" s="1"/>
  <c r="K30" i="1" s="1"/>
  <c r="K31" i="1" s="1"/>
  <c r="F22" i="10"/>
  <c r="F10" i="10"/>
  <c r="G22" i="10"/>
  <c r="G10" i="10"/>
  <c r="L36" i="1"/>
  <c r="L37" i="1" s="1"/>
  <c r="L59" i="1" s="1"/>
  <c r="M36" i="3"/>
  <c r="D19" i="7" l="1"/>
  <c r="D20" i="7" s="1"/>
  <c r="L24" i="1" s="1"/>
  <c r="L30" i="1" s="1"/>
  <c r="L31" i="1" s="1"/>
  <c r="L61" i="1" s="1"/>
  <c r="K61" i="1"/>
  <c r="J31" i="1"/>
  <c r="J61" i="1" s="1"/>
  <c r="H10" i="10"/>
  <c r="I10" i="10" s="1"/>
  <c r="J10" i="10" s="1"/>
  <c r="K10" i="10" s="1"/>
  <c r="L10" i="10" s="1"/>
  <c r="M10" i="10" s="1"/>
  <c r="N10" i="10" s="1"/>
  <c r="O10" i="10" s="1"/>
  <c r="P10" i="10" s="1"/>
  <c r="Q10" i="10" s="1"/>
  <c r="R10" i="10" s="1"/>
  <c r="N36" i="3"/>
  <c r="N36" i="1" s="1"/>
  <c r="N37" i="1" s="1"/>
  <c r="N59" i="1" s="1"/>
  <c r="M36" i="1"/>
  <c r="M37" i="1" s="1"/>
  <c r="M59" i="1" s="1"/>
  <c r="E19" i="7" l="1"/>
  <c r="E20" i="7" s="1"/>
  <c r="M24" i="1" s="1"/>
  <c r="F19" i="7" s="1"/>
  <c r="F20" i="7" s="1"/>
  <c r="N24" i="1" s="1"/>
  <c r="N30" i="1" s="1"/>
  <c r="N31" i="1" s="1"/>
  <c r="N61" i="1" s="1"/>
  <c r="H9" i="10"/>
  <c r="I9" i="10" s="1"/>
  <c r="I22" i="10" s="1"/>
  <c r="H22" i="10" l="1"/>
  <c r="M30" i="1"/>
  <c r="M31" i="1" s="1"/>
  <c r="M61" i="1" s="1"/>
  <c r="J9" i="10"/>
  <c r="J22" i="10" s="1"/>
  <c r="K9" i="10" l="1"/>
  <c r="K22" i="10" s="1"/>
  <c r="L9" i="10" l="1"/>
  <c r="M9" i="10" s="1"/>
  <c r="L22" i="10" l="1"/>
  <c r="M22" i="10"/>
  <c r="N9" i="10"/>
  <c r="N22" i="10" l="1"/>
  <c r="O9" i="10"/>
  <c r="P9" i="10" l="1"/>
  <c r="O22" i="10"/>
  <c r="P22" i="10" l="1"/>
  <c r="Q9" i="10"/>
  <c r="Q22" i="10" s="1"/>
  <c r="I5" i="9"/>
  <c r="I12" i="9"/>
  <c r="I17" i="9" s="1"/>
  <c r="I21" i="9" s="1"/>
  <c r="C17" i="10" s="1"/>
  <c r="M28" i="10" s="1"/>
  <c r="L28" i="10" l="1"/>
  <c r="K28" i="10" s="1"/>
  <c r="N28" i="10"/>
  <c r="O28" i="10" s="1"/>
  <c r="C23" i="10"/>
  <c r="F23" i="10"/>
  <c r="Q24" i="10"/>
  <c r="N23" i="10"/>
  <c r="O23" i="10"/>
  <c r="K23" i="10"/>
  <c r="H23" i="10"/>
  <c r="L23" i="10"/>
  <c r="P23" i="10"/>
  <c r="G23" i="10"/>
  <c r="M23" i="10"/>
  <c r="E23" i="10"/>
  <c r="I23" i="10"/>
  <c r="Q23" i="10"/>
  <c r="D23" i="10"/>
  <c r="C25" i="10"/>
  <c r="C27" i="10" s="1"/>
  <c r="J23" i="10"/>
  <c r="C26" i="10" l="1"/>
  <c r="C28" i="10" s="1"/>
  <c r="C32" i="10" s="1"/>
  <c r="C34" i="10" s="1"/>
  <c r="C35" i="10" l="1"/>
  <c r="D16" i="11"/>
  <c r="D18" i="11" s="1"/>
  <c r="J2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hpw</author>
  </authors>
  <commentList>
    <comment ref="C4" authorId="0" shapeId="0" xr:uid="{DA2C3AF5-A9C0-48E3-B5A1-67FE7E032F2D}">
      <text>
        <r>
          <rPr>
            <b/>
            <sz val="9"/>
            <color indexed="81"/>
            <rFont val="Tahoma"/>
            <family val="2"/>
          </rPr>
          <t>hpw:</t>
        </r>
        <r>
          <rPr>
            <sz val="9"/>
            <color indexed="81"/>
            <rFont val="Tahoma"/>
            <family val="2"/>
          </rPr>
          <t xml:space="preserve">
Project Delight: Corporate Presentation</t>
        </r>
      </text>
    </comment>
  </commentList>
</comments>
</file>

<file path=xl/sharedStrings.xml><?xml version="1.0" encoding="utf-8"?>
<sst xmlns="http://schemas.openxmlformats.org/spreadsheetml/2006/main" count="444" uniqueCount="344">
  <si>
    <t>Assets</t>
  </si>
  <si>
    <t>Non-current assets</t>
  </si>
  <si>
    <t>Property, plant and equipment</t>
  </si>
  <si>
    <t>Capital work in progress</t>
  </si>
  <si>
    <t>Goodwill</t>
  </si>
  <si>
    <t>Other Intangible assets</t>
  </si>
  <si>
    <t>Intangible assets under development</t>
  </si>
  <si>
    <t>Right of use assets</t>
  </si>
  <si>
    <t>Financial Assets</t>
  </si>
  <si>
    <t>i. Loans</t>
  </si>
  <si>
    <t>ii. Other Financial assets</t>
  </si>
  <si>
    <t>Income tax assets (net)</t>
  </si>
  <si>
    <t>Other Assets</t>
  </si>
  <si>
    <t>Deferred tax assets (net)</t>
  </si>
  <si>
    <t>Total Non-current assets</t>
  </si>
  <si>
    <t>Current assets</t>
  </si>
  <si>
    <t>Financial assets</t>
  </si>
  <si>
    <t>i. Investments</t>
  </si>
  <si>
    <t>ii. Trade receivables</t>
  </si>
  <si>
    <t>iii. Cash and cash equivalents</t>
  </si>
  <si>
    <t>Other assets</t>
  </si>
  <si>
    <t>Total current assets</t>
  </si>
  <si>
    <t>Total assets</t>
  </si>
  <si>
    <t>Equity and liabilities</t>
  </si>
  <si>
    <t>Equity</t>
  </si>
  <si>
    <t>Equity share capital</t>
  </si>
  <si>
    <t>Instruments entirely in the nature of equity</t>
  </si>
  <si>
    <t>Other equity</t>
  </si>
  <si>
    <t>Total Equity</t>
  </si>
  <si>
    <t>Liabilities</t>
  </si>
  <si>
    <t>Non-current Liabilities</t>
  </si>
  <si>
    <t>Financial Liabilities</t>
  </si>
  <si>
    <t>i. Borrowings</t>
  </si>
  <si>
    <t>ii. Lease Liabilities</t>
  </si>
  <si>
    <t>Provisions</t>
  </si>
  <si>
    <t>Deferred tax liabilities (net)</t>
  </si>
  <si>
    <t>Total non-current liabilities</t>
  </si>
  <si>
    <t>Current Liabilities</t>
  </si>
  <si>
    <t>iii. Trade payables</t>
  </si>
  <si>
    <t>iv. Other Financial liabilities</t>
  </si>
  <si>
    <t>Other current liabilities</t>
  </si>
  <si>
    <t>Total Current Liabilities</t>
  </si>
  <si>
    <t>Total liabilities</t>
  </si>
  <si>
    <t>Total Equity and liabilities</t>
  </si>
  <si>
    <t>Balancing Check</t>
  </si>
  <si>
    <t>FY18</t>
  </si>
  <si>
    <t>FY19</t>
  </si>
  <si>
    <t>FY20</t>
  </si>
  <si>
    <t>FY21</t>
  </si>
  <si>
    <t>FY22</t>
  </si>
  <si>
    <t>FY25E</t>
  </si>
  <si>
    <t>FY26E</t>
  </si>
  <si>
    <t>FY27E</t>
  </si>
  <si>
    <t>P&amp;L Statement</t>
  </si>
  <si>
    <t>Income</t>
  </si>
  <si>
    <t>Revenue from contracts with customers</t>
  </si>
  <si>
    <t>Other Income</t>
  </si>
  <si>
    <t>Total Income</t>
  </si>
  <si>
    <t>Expense</t>
  </si>
  <si>
    <t>Depreciation and amortisation</t>
  </si>
  <si>
    <t>Total Expense</t>
  </si>
  <si>
    <t>Exceptional items- Impairment of goodwill</t>
  </si>
  <si>
    <t>Profit before tax</t>
  </si>
  <si>
    <t>Tax expense</t>
  </si>
  <si>
    <t>Current tax</t>
  </si>
  <si>
    <t>Adjustment of tax relating to earlier periods</t>
  </si>
  <si>
    <t>Deferred tax charge/credit</t>
  </si>
  <si>
    <t>Net Expense</t>
  </si>
  <si>
    <t>Profit for the year</t>
  </si>
  <si>
    <t>Revenue Assumptions</t>
  </si>
  <si>
    <t>Total</t>
  </si>
  <si>
    <t>Other P&amp;L Assumptions:</t>
  </si>
  <si>
    <t>Employee Count</t>
  </si>
  <si>
    <t>Cost per employee</t>
  </si>
  <si>
    <t>Growth Rate of expense per employee</t>
  </si>
  <si>
    <t>As a percent of revenue</t>
  </si>
  <si>
    <t>Tax Rate</t>
  </si>
  <si>
    <t>Other Balance Sheet Assumptions</t>
  </si>
  <si>
    <t xml:space="preserve">Revenue Model </t>
  </si>
  <si>
    <t>Revenue from contracts</t>
  </si>
  <si>
    <t>As a percentage</t>
  </si>
  <si>
    <t>Growth in Employees Count</t>
  </si>
  <si>
    <t>Working Capital Schedule</t>
  </si>
  <si>
    <t>Current assets (except cash &amp; equivalents)</t>
  </si>
  <si>
    <t>Total Current Assets (except cash &amp; equivalents)</t>
  </si>
  <si>
    <t>Net Working Capital (excluding cash)</t>
  </si>
  <si>
    <t>Changes in Net Working Capital</t>
  </si>
  <si>
    <t>Current Asset as days of sales</t>
  </si>
  <si>
    <t>Current Liabilities as days of sales</t>
  </si>
  <si>
    <t>Debt Schedule</t>
  </si>
  <si>
    <t>Long term Borrowings</t>
  </si>
  <si>
    <t>Short Term Borrowing</t>
  </si>
  <si>
    <t>Total Borrowings</t>
  </si>
  <si>
    <t>Long Term Lease</t>
  </si>
  <si>
    <t>Short Term Lease</t>
  </si>
  <si>
    <t>Total Lease</t>
  </si>
  <si>
    <t>Cost on Borrowings</t>
  </si>
  <si>
    <t>Cost on Lease Liabilities</t>
  </si>
  <si>
    <t>Unwinding of Interest</t>
  </si>
  <si>
    <t>Total Finance cost</t>
  </si>
  <si>
    <t>Cost of Borrowing (%)</t>
  </si>
  <si>
    <t>Cost Of Lease (%)</t>
  </si>
  <si>
    <t>Weighted Average Cost Of Borrowing</t>
  </si>
  <si>
    <t>New Borrowing Raised</t>
  </si>
  <si>
    <t>Exsisting Borrowing Repaid</t>
  </si>
  <si>
    <t>Net Borrowing Raised</t>
  </si>
  <si>
    <t>Net Borrowing Added to Long Term Borrowings</t>
  </si>
  <si>
    <t>New Lease added</t>
  </si>
  <si>
    <t>Existing lease removed</t>
  </si>
  <si>
    <t>Net Lease added</t>
  </si>
  <si>
    <t>Net Lease added to long term lease</t>
  </si>
  <si>
    <t>Capex Schedule</t>
  </si>
  <si>
    <t>Property, Plant &amp; Equipment</t>
  </si>
  <si>
    <t>Intangible Assets</t>
  </si>
  <si>
    <t>Right-of-use Assets</t>
  </si>
  <si>
    <t>Gross Long Term Assets:</t>
  </si>
  <si>
    <t>Accumulated Depreciation:</t>
  </si>
  <si>
    <t>Net PPE</t>
  </si>
  <si>
    <t>Net Intangible Assets</t>
  </si>
  <si>
    <t>Net Right of use assets</t>
  </si>
  <si>
    <t>Depreciation on PPE</t>
  </si>
  <si>
    <t>As a % of GLTA</t>
  </si>
  <si>
    <t>Depreciation on Intangible Asset</t>
  </si>
  <si>
    <t>Depreciation on Right of use Assets</t>
  </si>
  <si>
    <t>Total Depreciation</t>
  </si>
  <si>
    <t>Total Capex</t>
  </si>
  <si>
    <t>Maintenance Capex on PPE</t>
  </si>
  <si>
    <t>Growth Capex On PPE</t>
  </si>
  <si>
    <t>Total Capex On PPE</t>
  </si>
  <si>
    <t>Maintenance Capex on Intangible Assets</t>
  </si>
  <si>
    <t>Growth Capex On Intangible Assets</t>
  </si>
  <si>
    <t>Maintenance Capex on Right of Use of Assets</t>
  </si>
  <si>
    <t>Growth Capex On Right of Use of Assets</t>
  </si>
  <si>
    <t>Total Capex On Intangible Assets</t>
  </si>
  <si>
    <t>Total Capex On Right of use of Assets</t>
  </si>
  <si>
    <t>FY28E</t>
  </si>
  <si>
    <t>FY23</t>
  </si>
  <si>
    <t>2025E</t>
  </si>
  <si>
    <t>2026E</t>
  </si>
  <si>
    <t>2027E</t>
  </si>
  <si>
    <t>Net Profit</t>
  </si>
  <si>
    <t>Add Finance Costs</t>
  </si>
  <si>
    <t>Add Depreciation</t>
  </si>
  <si>
    <t>Less Change in Net Working Capital</t>
  </si>
  <si>
    <t>Cash Flow from Operating Activities</t>
  </si>
  <si>
    <t>Capital Expenditure</t>
  </si>
  <si>
    <t>Cash Flow from Investing Activities</t>
  </si>
  <si>
    <t>Changes to Equity</t>
  </si>
  <si>
    <t>Finance Costs Paid</t>
  </si>
  <si>
    <t>Dividend Paid</t>
  </si>
  <si>
    <t>Cash Flow from Financing Activities</t>
  </si>
  <si>
    <t>Total Cash Flow</t>
  </si>
  <si>
    <t>Beginning Cash Balance</t>
  </si>
  <si>
    <t>Closing Cash Balance in Balance Sheet</t>
  </si>
  <si>
    <t>2028E</t>
  </si>
  <si>
    <t>Other Financial Liabilities</t>
  </si>
  <si>
    <t>Nifty 100</t>
  </si>
  <si>
    <t>CMP</t>
  </si>
  <si>
    <t>WACC</t>
  </si>
  <si>
    <t>Beta</t>
  </si>
  <si>
    <t>Risk Free Rate</t>
  </si>
  <si>
    <t>Equity Risk Premium</t>
  </si>
  <si>
    <t>Terminal Growth Rate Calculation</t>
  </si>
  <si>
    <t>GDP USA</t>
  </si>
  <si>
    <t>Cost Of Equity</t>
  </si>
  <si>
    <t>GDP India</t>
  </si>
  <si>
    <t>Market Value of Equity</t>
  </si>
  <si>
    <t>Value Of Debt</t>
  </si>
  <si>
    <t xml:space="preserve">Terminal Growth Rate </t>
  </si>
  <si>
    <t>Cost of Debt</t>
  </si>
  <si>
    <t>Proportion of Debt</t>
  </si>
  <si>
    <t>Proportion of Equity</t>
  </si>
  <si>
    <t>Effective Tax rate</t>
  </si>
  <si>
    <t>Terminal Growth Rate</t>
  </si>
  <si>
    <t>Free Cashflow to Firm  Calculation</t>
  </si>
  <si>
    <t>EBIT</t>
  </si>
  <si>
    <t>EBIT(1-t) (or NOPAT)</t>
  </si>
  <si>
    <t>Less Capital Expenditure</t>
  </si>
  <si>
    <t>FCFF</t>
  </si>
  <si>
    <t>FCFF Growth</t>
  </si>
  <si>
    <t>Valuation Parameters</t>
  </si>
  <si>
    <t>Valuation as on Specified Date</t>
  </si>
  <si>
    <t>Date of Year Ending</t>
  </si>
  <si>
    <t>Tax Rate (Effective Future Rate)</t>
  </si>
  <si>
    <t>Years</t>
  </si>
  <si>
    <t>Time to Cashflow in Years</t>
  </si>
  <si>
    <t>Discounted FCFF</t>
  </si>
  <si>
    <t>NPV of Explicit Cash Flows</t>
  </si>
  <si>
    <t>NPV of Terminal Value</t>
  </si>
  <si>
    <t>Enterprise Value</t>
  </si>
  <si>
    <t>Less Debt</t>
  </si>
  <si>
    <t>Add Cash</t>
  </si>
  <si>
    <t>Equity Value</t>
  </si>
  <si>
    <t>Value per Share (today)</t>
  </si>
  <si>
    <t>Upside/Downside</t>
  </si>
  <si>
    <t>Terminal Value of FCFF</t>
  </si>
  <si>
    <t>P/E Based  Valuation</t>
  </si>
  <si>
    <t>Peer Set</t>
  </si>
  <si>
    <t>Peer Average</t>
  </si>
  <si>
    <t>Target Share Price</t>
  </si>
  <si>
    <t>Model</t>
  </si>
  <si>
    <t>Price</t>
  </si>
  <si>
    <t>Weightages Assigned</t>
  </si>
  <si>
    <t>DCF suggested Price</t>
  </si>
  <si>
    <t>Relative Suggested Price</t>
  </si>
  <si>
    <t>Blended Target Price</t>
  </si>
  <si>
    <t>FY24</t>
  </si>
  <si>
    <t>FY29E</t>
  </si>
  <si>
    <t>Depreciation:</t>
  </si>
  <si>
    <t>As a % of Total Revenue</t>
  </si>
  <si>
    <t>2029E</t>
  </si>
  <si>
    <t>B/S</t>
  </si>
  <si>
    <t>I/S</t>
  </si>
  <si>
    <t>DSO</t>
  </si>
  <si>
    <t>Other equity (Reserves &amp; Surplus)</t>
  </si>
  <si>
    <r>
      <t>Net Loans Raised for the</t>
    </r>
    <r>
      <rPr>
        <b/>
        <sz val="11"/>
        <rFont val="Calibri"/>
        <family val="2"/>
        <scheme val="minor"/>
      </rPr>
      <t xml:space="preserve"> long term</t>
    </r>
  </si>
  <si>
    <t>3rd Linkage</t>
  </si>
  <si>
    <t>The linkage b/w I/S and B/S through deprn and amortization</t>
  </si>
  <si>
    <t>Master Equations:</t>
  </si>
  <si>
    <t>GLTA(25E) = GLTA(24E) +  CapEx (25)</t>
  </si>
  <si>
    <t>Acc Dep(25E) = Acc Dep (24E) + Deprn Exp (25E)</t>
  </si>
  <si>
    <t>CapEx (25E) = Maint Capex (25E) + Growth CapEx (25E)</t>
  </si>
  <si>
    <t>Maint Caex(25E) = Deprn Exp (24)</t>
  </si>
  <si>
    <t>Steps:</t>
  </si>
  <si>
    <t>Identify Deprn %</t>
  </si>
  <si>
    <t>Calculate the maintenance Capex</t>
  </si>
  <si>
    <t>Use Equation 4</t>
  </si>
  <si>
    <t>Calculate the Growth Capex</t>
  </si>
  <si>
    <t>Calculate the Total Capex</t>
  </si>
  <si>
    <t>Use Equation 3</t>
  </si>
  <si>
    <t>Calculate GLTA (25E)</t>
  </si>
  <si>
    <t>Use Equation 1</t>
  </si>
  <si>
    <t>The Treatment of right of use of assets will be bit different vs PPE and intangible assets.</t>
  </si>
  <si>
    <t>Calculate Absolute Depreciation Expense</t>
  </si>
  <si>
    <t>Absolute depr n expe = Dep % * Avg of last 2 yrs</t>
  </si>
  <si>
    <t>Calculate Acc Deprn (25E)</t>
  </si>
  <si>
    <t>Use Equation 2</t>
  </si>
  <si>
    <t>Calculate the Net Asset</t>
  </si>
  <si>
    <t>Net Asset = GLTA - Acc Deprn</t>
  </si>
  <si>
    <t>Total Debt</t>
  </si>
  <si>
    <t>Finance Cost</t>
  </si>
  <si>
    <t>2. Forecast the debt</t>
  </si>
  <si>
    <t>Steps to build the debt schedule:</t>
  </si>
  <si>
    <t>3. Calculate the interest expense (Debt x Int Rate)</t>
  </si>
  <si>
    <t>Annual Report</t>
  </si>
  <si>
    <t>Forecast this debt schedule</t>
  </si>
  <si>
    <t>How to forecast forecast WC Schedule</t>
  </si>
  <si>
    <t>1. Convert CA/CL into DSO</t>
  </si>
  <si>
    <t>DSO = (CA/CL)x365/Sales</t>
  </si>
  <si>
    <t>2. Forecast the DSO</t>
  </si>
  <si>
    <t>3. Calculate Forecasted CA/CL from Forecasted DSO</t>
  </si>
  <si>
    <t>(CA/CL) = DSOxSales/365</t>
  </si>
  <si>
    <t>DSO = (CA or CL)x365/Sales</t>
  </si>
  <si>
    <t>If it is Balance Sheet</t>
  </si>
  <si>
    <t>Use Weighted Average</t>
  </si>
  <si>
    <t>Because I want to give more weightage to receny years, as balance sheet is not that volatile</t>
  </si>
  <si>
    <t>Capex</t>
  </si>
  <si>
    <t>Corporate tax rate in india</t>
  </si>
  <si>
    <t>Derived Statement</t>
  </si>
  <si>
    <t>WC Schedule/BS</t>
  </si>
  <si>
    <t>Other Changes in Investments/Liabilitie/Others</t>
  </si>
  <si>
    <t>2040E</t>
  </si>
  <si>
    <t>Sensitivity Analysis</t>
  </si>
  <si>
    <t>Total Earning of NTM</t>
  </si>
  <si>
    <t>Total no of shares</t>
  </si>
  <si>
    <t>Total Earning for NTM</t>
  </si>
  <si>
    <t>P/E*</t>
  </si>
  <si>
    <t>Revenue from Operations</t>
  </si>
  <si>
    <t>Selling, General &amp; Administrative Expenses</t>
  </si>
  <si>
    <t>Total Operating Expenses</t>
  </si>
  <si>
    <t>Profit &amp; Loss Statement ( All Amount in ₹ cr, unless otherwise stated)</t>
  </si>
  <si>
    <t>Interest</t>
  </si>
  <si>
    <t>All Amount are in ₹ cr</t>
  </si>
  <si>
    <t>Domestic Sales</t>
  </si>
  <si>
    <t>Export Sales</t>
  </si>
  <si>
    <t>Domestic</t>
  </si>
  <si>
    <t>Export</t>
  </si>
  <si>
    <t>Sales Numbers</t>
  </si>
  <si>
    <t>Domestic Sales of Segments</t>
  </si>
  <si>
    <t>Mini(% of Domestic Sales)</t>
  </si>
  <si>
    <t>Compact(% of Domestic Sales)</t>
  </si>
  <si>
    <t>Mini (Sales)</t>
  </si>
  <si>
    <t>Compact (Sales)</t>
  </si>
  <si>
    <t>Mini + Compact (Sales)</t>
  </si>
  <si>
    <t>Mid Size(% of Domestic Sales)</t>
  </si>
  <si>
    <t>UV's (Sales)</t>
  </si>
  <si>
    <t>Mid Size (Sales)</t>
  </si>
  <si>
    <t>UV's (% of Domestic Sales)</t>
  </si>
  <si>
    <t>Vans (Sales)</t>
  </si>
  <si>
    <t>Vans (% of Domestic Sales)</t>
  </si>
  <si>
    <t>LCV (Sales)</t>
  </si>
  <si>
    <t>Other OEM Sales</t>
  </si>
  <si>
    <t>OEM (% of Domestic Sales)</t>
  </si>
  <si>
    <t>LCV (% of Domestic Sales)</t>
  </si>
  <si>
    <t>Balance Sheet ( All Amount in ₹ CR, Unless otherwise stated)</t>
  </si>
  <si>
    <t xml:space="preserve">   i. Investments</t>
  </si>
  <si>
    <t>ii. Loans</t>
  </si>
  <si>
    <t>iii. Other Financial assets</t>
  </si>
  <si>
    <t>Inventories</t>
  </si>
  <si>
    <t>iv. Loans</t>
  </si>
  <si>
    <t>v. Other financial assets</t>
  </si>
  <si>
    <t>vi. Other Bank Balances</t>
  </si>
  <si>
    <t>Assets classified as held for Sale</t>
  </si>
  <si>
    <t xml:space="preserve"> Other non-current Liabilities</t>
  </si>
  <si>
    <t>Current tax liabilities (net)</t>
  </si>
  <si>
    <t xml:space="preserve">Outstanding Dues of creditors &amp; Enterprises </t>
  </si>
  <si>
    <t>Non controlling Interest</t>
  </si>
  <si>
    <t>Growth Capex (Assumed %)</t>
  </si>
  <si>
    <t>Using Grid Method (I have used 50%)</t>
  </si>
  <si>
    <t>iii. Loans</t>
  </si>
  <si>
    <t>iv. Other financial assets</t>
  </si>
  <si>
    <t xml:space="preserve">      i. Investments</t>
  </si>
  <si>
    <t>0.01x(1+CAGR)^4 = 0.01</t>
  </si>
  <si>
    <t xml:space="preserve">             Nifty 50</t>
  </si>
  <si>
    <t xml:space="preserve">     Maruti Suzuki</t>
  </si>
  <si>
    <t>Returns/Maruti</t>
  </si>
  <si>
    <t>Returns/Nifty 50</t>
  </si>
  <si>
    <t>US Automobile Sector Growth</t>
  </si>
  <si>
    <t>Worldwide Automobile Industry Growth</t>
  </si>
  <si>
    <t>No. of Shares Outstanding (in crores)</t>
  </si>
  <si>
    <t>Mahindra &amp; Mahindra (M&amp;M)</t>
  </si>
  <si>
    <t>Hyundai Motor</t>
  </si>
  <si>
    <t>Hindustan Motors</t>
  </si>
  <si>
    <t>EPS for NTM of Maruti Suzuki</t>
  </si>
  <si>
    <t>Maruti Suzuki Relative Price</t>
  </si>
  <si>
    <t>Numbers as of 26th January 2025*</t>
  </si>
  <si>
    <t xml:space="preserve">P/E </t>
  </si>
  <si>
    <t>Weighted Avg % (Assumed)</t>
  </si>
  <si>
    <t>Maruti Suzuki:</t>
  </si>
  <si>
    <t>EPS NTM (Next Twelve Months)</t>
  </si>
  <si>
    <t>Capex Schedule/BS</t>
  </si>
  <si>
    <t>Cash Flow Statement ( All Amount in ₹ Crores, Unless otherwise stated)</t>
  </si>
  <si>
    <t>Whenever we are forecasting on the basis of Average</t>
  </si>
  <si>
    <t>If it's p&amp;L Statement use Simple average</t>
  </si>
  <si>
    <t>B/L Sheet</t>
  </si>
  <si>
    <t>1. Forecast the Int Rate</t>
  </si>
  <si>
    <t xml:space="preserve">If you are trying to calculate % of I/S item wrt to B/S always use last two years average. </t>
  </si>
  <si>
    <t>CMP (Current Market Price)</t>
  </si>
  <si>
    <t>No. of Shares in Cr</t>
  </si>
  <si>
    <t>Terminal growth rate cannot exceed long term growth rate of country (Should be 4 - 6.5%)</t>
  </si>
  <si>
    <t>Enterprise Value = Equity Value + Debt Value - Cash</t>
  </si>
  <si>
    <t xml:space="preserve"> Determine the peer set</t>
  </si>
  <si>
    <t>3 months</t>
  </si>
  <si>
    <t>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</si>
</sst>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0.0%"/>
    <numFmt numFmtId="166" formatCode="&quot;₹&quot;\ #,##0"/>
    <numFmt numFmtId="167" formatCode="_(&quot;₹&quot;* #,##0.00_);_(&quot;₹&quot;* \(#,##0.00\);_(&quot;₹&quot;* &quot;-&quot;??_);_(@_)"/>
    <numFmt numFmtId="168" formatCode="_ * #,##0_ ;_ * \-#,##0_ ;_ * &quot;-&quot;??_ ;_ @_ "/>
    <numFmt numFmtId="169" formatCode="0.000000000"/>
    <numFmt numFmtId="170" formatCode="0&quot;E&quot;"/>
    <numFmt numFmtId="171" formatCode="0.0"/>
    <numFmt numFmtId="172" formatCode="_(&quot;₹&quot;* #,##0_);_(&quot;₹&quot;* \(#,##0\);_(&quot;₹&quot;* &quot;-&quot;??_);_(@_)"/>
    <numFmt numFmtId="173" formatCode="&quot;₹&quot;\ #,##0.0"/>
    <numFmt numFmtId="174" formatCode="0.000000"/>
    <numFmt numFmtId="175" formatCode="_ * #,##0.000000000_ ;_ * \-#,##0.000000000_ ;_ * &quot;-&quot;??_ ;_ @_ "/>
    <numFmt numFmtId="176" formatCode="&quot;₹&quot;\ #,##0.00"/>
    <numFmt numFmtId="177" formatCode="_ &quot;₹&quot;\ * #,##0.000000_ ;_ &quot;₹&quot;\ * \-#,##0.000000_ ;_ &quot;₹&quot;\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 Unicode MS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gray0625"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mediumGray"/>
    </fill>
    <fill>
      <patternFill patternType="solid">
        <fgColor theme="6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</cellStyleXfs>
  <cellXfs count="452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2" fillId="3" borderId="8" xfId="0" applyFont="1" applyFill="1" applyBorder="1"/>
    <xf numFmtId="0" fontId="3" fillId="0" borderId="16" xfId="0" applyFont="1" applyBorder="1"/>
    <xf numFmtId="0" fontId="0" fillId="0" borderId="16" xfId="0" applyBorder="1" applyAlignment="1">
      <alignment horizontal="left" indent="1"/>
    </xf>
    <xf numFmtId="0" fontId="3" fillId="2" borderId="18" xfId="0" applyFont="1" applyFill="1" applyBorder="1"/>
    <xf numFmtId="0" fontId="3" fillId="0" borderId="16" xfId="0" applyFont="1" applyBorder="1" applyAlignment="1">
      <alignment horizontal="left" indent="1"/>
    </xf>
    <xf numFmtId="0" fontId="3" fillId="0" borderId="18" xfId="0" applyFont="1" applyBorder="1"/>
    <xf numFmtId="0" fontId="0" fillId="2" borderId="19" xfId="0" applyFill="1" applyBorder="1"/>
    <xf numFmtId="164" fontId="0" fillId="0" borderId="3" xfId="0" applyNumberFormat="1" applyBorder="1"/>
    <xf numFmtId="164" fontId="0" fillId="0" borderId="0" xfId="0" applyNumberFormat="1"/>
    <xf numFmtId="164" fontId="0" fillId="0" borderId="20" xfId="0" applyNumberFormat="1" applyBorder="1"/>
    <xf numFmtId="164" fontId="0" fillId="0" borderId="2" xfId="0" applyNumberFormat="1" applyBorder="1"/>
    <xf numFmtId="164" fontId="0" fillId="0" borderId="12" xfId="0" applyNumberFormat="1" applyBorder="1"/>
    <xf numFmtId="164" fontId="0" fillId="0" borderId="22" xfId="0" applyNumberFormat="1" applyBorder="1"/>
    <xf numFmtId="164" fontId="0" fillId="0" borderId="14" xfId="0" applyNumberFormat="1" applyBorder="1"/>
    <xf numFmtId="164" fontId="0" fillId="0" borderId="4" xfId="0" applyNumberFormat="1" applyBorder="1"/>
    <xf numFmtId="164" fontId="0" fillId="0" borderId="13" xfId="0" applyNumberFormat="1" applyBorder="1"/>
    <xf numFmtId="164" fontId="0" fillId="0" borderId="23" xfId="0" applyNumberFormat="1" applyBorder="1"/>
    <xf numFmtId="164" fontId="0" fillId="0" borderId="0" xfId="1" applyNumberFormat="1" applyFont="1" applyFill="1" applyBorder="1"/>
    <xf numFmtId="164" fontId="0" fillId="0" borderId="10" xfId="1" applyNumberFormat="1" applyFont="1" applyFill="1" applyBorder="1"/>
    <xf numFmtId="0" fontId="3" fillId="0" borderId="0" xfId="0" applyFont="1"/>
    <xf numFmtId="0" fontId="2" fillId="3" borderId="1" xfId="0" applyFont="1" applyFill="1" applyBorder="1"/>
    <xf numFmtId="164" fontId="0" fillId="2" borderId="12" xfId="1" applyNumberFormat="1" applyFont="1" applyFill="1" applyBorder="1"/>
    <xf numFmtId="0" fontId="0" fillId="2" borderId="3" xfId="0" applyFill="1" applyBorder="1" applyAlignment="1">
      <alignment horizontal="left" indent="1"/>
    </xf>
    <xf numFmtId="164" fontId="0" fillId="2" borderId="0" xfId="1" applyNumberFormat="1" applyFont="1" applyFill="1" applyBorder="1"/>
    <xf numFmtId="164" fontId="0" fillId="2" borderId="9" xfId="1" applyNumberFormat="1" applyFont="1" applyFill="1" applyBorder="1"/>
    <xf numFmtId="0" fontId="0" fillId="2" borderId="2" xfId="0" applyFill="1" applyBorder="1"/>
    <xf numFmtId="0" fontId="3" fillId="2" borderId="3" xfId="0" applyFont="1" applyFill="1" applyBorder="1"/>
    <xf numFmtId="0" fontId="0" fillId="2" borderId="3" xfId="0" applyFill="1" applyBorder="1"/>
    <xf numFmtId="164" fontId="0" fillId="5" borderId="0" xfId="1" applyNumberFormat="1" applyFont="1" applyFill="1" applyBorder="1"/>
    <xf numFmtId="164" fontId="0" fillId="5" borderId="9" xfId="1" applyNumberFormat="1" applyFont="1" applyFill="1" applyBorder="1"/>
    <xf numFmtId="164" fontId="3" fillId="2" borderId="0" xfId="1" applyNumberFormat="1" applyFont="1" applyFill="1" applyBorder="1"/>
    <xf numFmtId="0" fontId="0" fillId="0" borderId="9" xfId="0" applyBorder="1"/>
    <xf numFmtId="0" fontId="3" fillId="4" borderId="1" xfId="0" applyFont="1" applyFill="1" applyBorder="1"/>
    <xf numFmtId="164" fontId="3" fillId="4" borderId="5" xfId="1" applyNumberFormat="1" applyFont="1" applyFill="1" applyBorder="1"/>
    <xf numFmtId="164" fontId="3" fillId="4" borderId="7" xfId="1" applyNumberFormat="1" applyFont="1" applyFill="1" applyBorder="1"/>
    <xf numFmtId="0" fontId="3" fillId="0" borderId="3" xfId="0" applyFont="1" applyBorder="1"/>
    <xf numFmtId="164" fontId="0" fillId="0" borderId="0" xfId="1" applyNumberFormat="1" applyFont="1" applyBorder="1"/>
    <xf numFmtId="164" fontId="0" fillId="0" borderId="9" xfId="1" applyNumberFormat="1" applyFont="1" applyBorder="1"/>
    <xf numFmtId="0" fontId="3" fillId="0" borderId="4" xfId="0" applyFont="1" applyBorder="1"/>
    <xf numFmtId="164" fontId="0" fillId="0" borderId="13" xfId="1" applyNumberFormat="1" applyFont="1" applyBorder="1"/>
    <xf numFmtId="0" fontId="3" fillId="0" borderId="24" xfId="0" applyFont="1" applyBorder="1"/>
    <xf numFmtId="164" fontId="3" fillId="0" borderId="10" xfId="1" applyNumberFormat="1" applyFont="1" applyBorder="1"/>
    <xf numFmtId="164" fontId="3" fillId="0" borderId="11" xfId="1" applyNumberFormat="1" applyFont="1" applyBorder="1"/>
    <xf numFmtId="0" fontId="0" fillId="0" borderId="3" xfId="0" applyBorder="1"/>
    <xf numFmtId="9" fontId="0" fillId="0" borderId="0" xfId="2" applyFont="1" applyBorder="1"/>
    <xf numFmtId="9" fontId="0" fillId="0" borderId="9" xfId="2" applyFont="1" applyBorder="1"/>
    <xf numFmtId="164" fontId="3" fillId="0" borderId="0" xfId="1" applyNumberFormat="1" applyFont="1" applyBorder="1"/>
    <xf numFmtId="164" fontId="3" fillId="0" borderId="9" xfId="1" applyNumberFormat="1" applyFont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0" fontId="0" fillId="0" borderId="24" xfId="0" applyBorder="1"/>
    <xf numFmtId="164" fontId="0" fillId="0" borderId="11" xfId="1" applyNumberFormat="1" applyFont="1" applyFill="1" applyBorder="1"/>
    <xf numFmtId="0" fontId="0" fillId="2" borderId="24" xfId="0" applyFill="1" applyBorder="1"/>
    <xf numFmtId="164" fontId="0" fillId="0" borderId="15" xfId="1" applyNumberFormat="1" applyFont="1" applyBorder="1"/>
    <xf numFmtId="0" fontId="3" fillId="2" borderId="16" xfId="0" applyFont="1" applyFill="1" applyBorder="1"/>
    <xf numFmtId="164" fontId="0" fillId="0" borderId="3" xfId="1" applyNumberFormat="1" applyFont="1" applyFill="1" applyBorder="1"/>
    <xf numFmtId="0" fontId="0" fillId="0" borderId="10" xfId="0" applyBorder="1"/>
    <xf numFmtId="0" fontId="0" fillId="0" borderId="5" xfId="0" applyBorder="1"/>
    <xf numFmtId="9" fontId="0" fillId="2" borderId="12" xfId="0" applyNumberFormat="1" applyFill="1" applyBorder="1"/>
    <xf numFmtId="0" fontId="3" fillId="6" borderId="8" xfId="0" applyFont="1" applyFill="1" applyBorder="1"/>
    <xf numFmtId="164" fontId="0" fillId="6" borderId="10" xfId="0" applyNumberFormat="1" applyFill="1" applyBorder="1"/>
    <xf numFmtId="164" fontId="0" fillId="6" borderId="21" xfId="0" applyNumberFormat="1" applyFill="1" applyBorder="1"/>
    <xf numFmtId="164" fontId="0" fillId="6" borderId="10" xfId="1" applyNumberFormat="1" applyFont="1" applyFill="1" applyBorder="1"/>
    <xf numFmtId="164" fontId="0" fillId="6" borderId="11" xfId="1" applyNumberFormat="1" applyFont="1" applyFill="1" applyBorder="1"/>
    <xf numFmtId="164" fontId="0" fillId="0" borderId="12" xfId="1" applyNumberFormat="1" applyFont="1" applyBorder="1"/>
    <xf numFmtId="164" fontId="0" fillId="0" borderId="14" xfId="1" applyNumberFormat="1" applyFont="1" applyBorder="1"/>
    <xf numFmtId="164" fontId="2" fillId="3" borderId="5" xfId="1" applyNumberFormat="1" applyFont="1" applyFill="1" applyBorder="1" applyAlignment="1">
      <alignment horizontal="right"/>
    </xf>
    <xf numFmtId="164" fontId="2" fillId="3" borderId="7" xfId="1" applyNumberFormat="1" applyFont="1" applyFill="1" applyBorder="1" applyAlignment="1">
      <alignment horizontal="right"/>
    </xf>
    <xf numFmtId="9" fontId="0" fillId="0" borderId="10" xfId="2" applyFont="1" applyBorder="1"/>
    <xf numFmtId="9" fontId="0" fillId="0" borderId="11" xfId="2" applyFont="1" applyBorder="1"/>
    <xf numFmtId="1" fontId="0" fillId="0" borderId="0" xfId="0" applyNumberFormat="1"/>
    <xf numFmtId="1" fontId="0" fillId="0" borderId="9" xfId="0" applyNumberFormat="1" applyBorder="1"/>
    <xf numFmtId="0" fontId="2" fillId="3" borderId="2" xfId="0" applyFont="1" applyFill="1" applyBorder="1"/>
    <xf numFmtId="0" fontId="2" fillId="3" borderId="12" xfId="0" applyFont="1" applyFill="1" applyBorder="1" applyAlignment="1">
      <alignment horizontal="right"/>
    </xf>
    <xf numFmtId="0" fontId="2" fillId="3" borderId="14" xfId="0" applyFont="1" applyFill="1" applyBorder="1" applyAlignment="1">
      <alignment horizontal="right"/>
    </xf>
    <xf numFmtId="0" fontId="3" fillId="0" borderId="2" xfId="0" applyFont="1" applyBorder="1"/>
    <xf numFmtId="0" fontId="0" fillId="2" borderId="3" xfId="0" applyFill="1" applyBorder="1" applyAlignment="1">
      <alignment horizontal="left" indent="2"/>
    </xf>
    <xf numFmtId="0" fontId="0" fillId="0" borderId="3" xfId="0" applyBorder="1" applyAlignment="1">
      <alignment horizontal="left" indent="2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 indent="1"/>
    </xf>
    <xf numFmtId="164" fontId="3" fillId="2" borderId="9" xfId="1" applyNumberFormat="1" applyFont="1" applyFill="1" applyBorder="1"/>
    <xf numFmtId="0" fontId="3" fillId="4" borderId="3" xfId="0" applyFont="1" applyFill="1" applyBorder="1"/>
    <xf numFmtId="164" fontId="3" fillId="4" borderId="0" xfId="1" applyNumberFormat="1" applyFont="1" applyFill="1" applyBorder="1"/>
    <xf numFmtId="164" fontId="3" fillId="4" borderId="9" xfId="1" applyNumberFormat="1" applyFont="1" applyFill="1" applyBorder="1"/>
    <xf numFmtId="0" fontId="3" fillId="4" borderId="24" xfId="0" applyFont="1" applyFill="1" applyBorder="1"/>
    <xf numFmtId="164" fontId="3" fillId="4" borderId="10" xfId="1" applyNumberFormat="1" applyFont="1" applyFill="1" applyBorder="1"/>
    <xf numFmtId="164" fontId="3" fillId="4" borderId="11" xfId="1" applyNumberFormat="1" applyFont="1" applyFill="1" applyBorder="1"/>
    <xf numFmtId="0" fontId="0" fillId="2" borderId="2" xfId="0" applyFill="1" applyBorder="1" applyAlignment="1">
      <alignment horizontal="left" indent="1"/>
    </xf>
    <xf numFmtId="1" fontId="0" fillId="0" borderId="12" xfId="1" applyNumberFormat="1" applyFont="1" applyBorder="1"/>
    <xf numFmtId="1" fontId="0" fillId="0" borderId="14" xfId="1" applyNumberFormat="1" applyFont="1" applyBorder="1"/>
    <xf numFmtId="1" fontId="0" fillId="0" borderId="0" xfId="1" applyNumberFormat="1" applyFont="1" applyBorder="1"/>
    <xf numFmtId="1" fontId="0" fillId="0" borderId="9" xfId="1" applyNumberFormat="1" applyFont="1" applyBorder="1"/>
    <xf numFmtId="0" fontId="0" fillId="2" borderId="24" xfId="0" applyFill="1" applyBorder="1" applyAlignment="1">
      <alignment horizontal="left" indent="2"/>
    </xf>
    <xf numFmtId="1" fontId="0" fillId="0" borderId="10" xfId="1" applyNumberFormat="1" applyFont="1" applyBorder="1"/>
    <xf numFmtId="1" fontId="0" fillId="0" borderId="11" xfId="1" applyNumberFormat="1" applyFont="1" applyBorder="1"/>
    <xf numFmtId="166" fontId="0" fillId="0" borderId="0" xfId="0" applyNumberFormat="1"/>
    <xf numFmtId="166" fontId="0" fillId="0" borderId="0" xfId="1" applyNumberFormat="1" applyFont="1" applyBorder="1"/>
    <xf numFmtId="166" fontId="0" fillId="0" borderId="9" xfId="1" applyNumberFormat="1" applyFont="1" applyBorder="1"/>
    <xf numFmtId="166" fontId="3" fillId="0" borderId="0" xfId="0" applyNumberFormat="1" applyFont="1"/>
    <xf numFmtId="166" fontId="3" fillId="0" borderId="0" xfId="1" applyNumberFormat="1" applyFont="1" applyBorder="1"/>
    <xf numFmtId="166" fontId="3" fillId="0" borderId="9" xfId="1" applyNumberFormat="1" applyFont="1" applyBorder="1"/>
    <xf numFmtId="166" fontId="3" fillId="0" borderId="9" xfId="0" applyNumberFormat="1" applyFont="1" applyBorder="1"/>
    <xf numFmtId="0" fontId="0" fillId="2" borderId="3" xfId="0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1" fontId="0" fillId="7" borderId="0" xfId="1" applyNumberFormat="1" applyFont="1" applyFill="1" applyBorder="1"/>
    <xf numFmtId="0" fontId="0" fillId="2" borderId="24" xfId="0" applyFill="1" applyBorder="1" applyAlignment="1">
      <alignment horizontal="left"/>
    </xf>
    <xf numFmtId="1" fontId="0" fillId="7" borderId="10" xfId="1" applyNumberFormat="1" applyFont="1" applyFill="1" applyBorder="1"/>
    <xf numFmtId="166" fontId="0" fillId="0" borderId="10" xfId="1" applyNumberFormat="1" applyFont="1" applyBorder="1"/>
    <xf numFmtId="166" fontId="0" fillId="0" borderId="11" xfId="1" applyNumberFormat="1" applyFont="1" applyBorder="1"/>
    <xf numFmtId="0" fontId="0" fillId="2" borderId="0" xfId="0" applyFill="1" applyAlignment="1">
      <alignment horizontal="left"/>
    </xf>
    <xf numFmtId="164" fontId="5" fillId="4" borderId="3" xfId="0" applyNumberFormat="1" applyFont="1" applyFill="1" applyBorder="1" applyAlignment="1">
      <alignment horizontal="left" vertical="center"/>
    </xf>
    <xf numFmtId="164" fontId="0" fillId="4" borderId="0" xfId="1" applyNumberFormat="1" applyFont="1" applyFill="1" applyBorder="1"/>
    <xf numFmtId="164" fontId="0" fillId="4" borderId="20" xfId="1" applyNumberFormat="1" applyFont="1" applyFill="1" applyBorder="1"/>
    <xf numFmtId="167" fontId="0" fillId="0" borderId="3" xfId="0" applyNumberFormat="1" applyBorder="1" applyAlignment="1">
      <alignment horizontal="left" vertical="center"/>
    </xf>
    <xf numFmtId="164" fontId="0" fillId="0" borderId="20" xfId="1" applyNumberFormat="1" applyFont="1" applyBorder="1"/>
    <xf numFmtId="164" fontId="3" fillId="8" borderId="3" xfId="0" applyNumberFormat="1" applyFont="1" applyFill="1" applyBorder="1" applyAlignment="1">
      <alignment horizontal="left" vertical="center"/>
    </xf>
    <xf numFmtId="164" fontId="3" fillId="8" borderId="0" xfId="1" applyNumberFormat="1" applyFont="1" applyFill="1" applyBorder="1"/>
    <xf numFmtId="164" fontId="3" fillId="8" borderId="20" xfId="1" applyNumberFormat="1" applyFont="1" applyFill="1" applyBorder="1"/>
    <xf numFmtId="164" fontId="3" fillId="8" borderId="9" xfId="1" applyNumberFormat="1" applyFont="1" applyFill="1" applyBorder="1"/>
    <xf numFmtId="164" fontId="0" fillId="0" borderId="3" xfId="0" applyNumberFormat="1" applyBorder="1" applyAlignment="1">
      <alignment horizontal="left" vertical="center"/>
    </xf>
    <xf numFmtId="9" fontId="3" fillId="8" borderId="0" xfId="2" applyFont="1" applyFill="1" applyBorder="1"/>
    <xf numFmtId="9" fontId="3" fillId="8" borderId="20" xfId="2" applyFont="1" applyFill="1" applyBorder="1"/>
    <xf numFmtId="10" fontId="0" fillId="2" borderId="0" xfId="2" applyNumberFormat="1" applyFont="1" applyFill="1" applyBorder="1"/>
    <xf numFmtId="10" fontId="0" fillId="2" borderId="20" xfId="2" applyNumberFormat="1" applyFont="1" applyFill="1" applyBorder="1"/>
    <xf numFmtId="10" fontId="0" fillId="2" borderId="9" xfId="2" applyNumberFormat="1" applyFont="1" applyFill="1" applyBorder="1"/>
    <xf numFmtId="164" fontId="0" fillId="8" borderId="0" xfId="1" applyNumberFormat="1" applyFont="1" applyFill="1" applyBorder="1"/>
    <xf numFmtId="164" fontId="0" fillId="8" borderId="20" xfId="1" applyNumberFormat="1" applyFont="1" applyFill="1" applyBorder="1"/>
    <xf numFmtId="164" fontId="0" fillId="8" borderId="9" xfId="1" applyNumberFormat="1" applyFont="1" applyFill="1" applyBorder="1"/>
    <xf numFmtId="0" fontId="0" fillId="0" borderId="12" xfId="0" applyBorder="1"/>
    <xf numFmtId="164" fontId="2" fillId="9" borderId="24" xfId="0" applyNumberFormat="1" applyFont="1" applyFill="1" applyBorder="1" applyAlignment="1">
      <alignment horizontal="left" vertical="center"/>
    </xf>
    <xf numFmtId="164" fontId="7" fillId="9" borderId="10" xfId="1" applyNumberFormat="1" applyFont="1" applyFill="1" applyBorder="1"/>
    <xf numFmtId="164" fontId="7" fillId="9" borderId="21" xfId="1" applyNumberFormat="1" applyFont="1" applyFill="1" applyBorder="1"/>
    <xf numFmtId="164" fontId="2" fillId="9" borderId="10" xfId="1" applyNumberFormat="1" applyFont="1" applyFill="1" applyBorder="1"/>
    <xf numFmtId="164" fontId="2" fillId="9" borderId="11" xfId="1" applyNumberFormat="1" applyFont="1" applyFill="1" applyBorder="1"/>
    <xf numFmtId="164" fontId="3" fillId="10" borderId="3" xfId="0" applyNumberFormat="1" applyFont="1" applyFill="1" applyBorder="1" applyAlignment="1">
      <alignment horizontal="left" vertical="center"/>
    </xf>
    <xf numFmtId="164" fontId="0" fillId="10" borderId="0" xfId="1" applyNumberFormat="1" applyFont="1" applyFill="1" applyBorder="1"/>
    <xf numFmtId="164" fontId="0" fillId="10" borderId="20" xfId="1" applyNumberFormat="1" applyFont="1" applyFill="1" applyBorder="1"/>
    <xf numFmtId="164" fontId="0" fillId="10" borderId="9" xfId="1" applyNumberFormat="1" applyFont="1" applyFill="1" applyBorder="1"/>
    <xf numFmtId="44" fontId="0" fillId="10" borderId="0" xfId="0" applyNumberFormat="1" applyFill="1"/>
    <xf numFmtId="164" fontId="0" fillId="10" borderId="0" xfId="0" applyNumberFormat="1" applyFill="1"/>
    <xf numFmtId="164" fontId="0" fillId="10" borderId="20" xfId="0" applyNumberFormat="1" applyFill="1" applyBorder="1"/>
    <xf numFmtId="9" fontId="0" fillId="0" borderId="0" xfId="2" applyFont="1"/>
    <xf numFmtId="0" fontId="0" fillId="0" borderId="7" xfId="0" applyBorder="1"/>
    <xf numFmtId="9" fontId="0" fillId="0" borderId="0" xfId="0" applyNumberFormat="1"/>
    <xf numFmtId="10" fontId="0" fillId="0" borderId="0" xfId="0" applyNumberFormat="1"/>
    <xf numFmtId="165" fontId="0" fillId="0" borderId="0" xfId="2" applyNumberFormat="1" applyFont="1"/>
    <xf numFmtId="165" fontId="0" fillId="0" borderId="0" xfId="2" applyNumberFormat="1" applyFont="1" applyBorder="1"/>
    <xf numFmtId="165" fontId="0" fillId="0" borderId="9" xfId="2" applyNumberFormat="1" applyFont="1" applyBorder="1"/>
    <xf numFmtId="165" fontId="0" fillId="0" borderId="0" xfId="0" applyNumberFormat="1"/>
    <xf numFmtId="9" fontId="0" fillId="0" borderId="13" xfId="2" applyFont="1" applyBorder="1"/>
    <xf numFmtId="9" fontId="0" fillId="0" borderId="15" xfId="2" applyFont="1" applyBorder="1"/>
    <xf numFmtId="164" fontId="6" fillId="0" borderId="16" xfId="0" applyNumberFormat="1" applyFont="1" applyBorder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164" fontId="5" fillId="0" borderId="16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4" fontId="5" fillId="0" borderId="9" xfId="0" applyNumberFormat="1" applyFont="1" applyBorder="1" applyAlignment="1">
      <alignment horizontal="left" vertical="center"/>
    </xf>
    <xf numFmtId="10" fontId="0" fillId="0" borderId="0" xfId="2" applyNumberFormat="1" applyFont="1" applyBorder="1"/>
    <xf numFmtId="10" fontId="0" fillId="0" borderId="9" xfId="2" applyNumberFormat="1" applyFont="1" applyBorder="1"/>
    <xf numFmtId="164" fontId="0" fillId="0" borderId="9" xfId="1" applyNumberFormat="1" applyFont="1" applyFill="1" applyBorder="1"/>
    <xf numFmtId="14" fontId="0" fillId="0" borderId="0" xfId="0" applyNumberFormat="1"/>
    <xf numFmtId="164" fontId="0" fillId="0" borderId="0" xfId="1" applyNumberFormat="1" applyFont="1"/>
    <xf numFmtId="169" fontId="0" fillId="0" borderId="0" xfId="0" applyNumberFormat="1"/>
    <xf numFmtId="2" fontId="0" fillId="0" borderId="0" xfId="0" applyNumberFormat="1"/>
    <xf numFmtId="167" fontId="2" fillId="3" borderId="0" xfId="0" applyNumberFormat="1" applyFont="1" applyFill="1" applyAlignment="1">
      <alignment vertical="center"/>
    </xf>
    <xf numFmtId="170" fontId="2" fillId="3" borderId="0" xfId="0" applyNumberFormat="1" applyFont="1" applyFill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7" fontId="0" fillId="4" borderId="0" xfId="0" applyNumberFormat="1" applyFill="1" applyAlignment="1">
      <alignment vertical="center"/>
    </xf>
    <xf numFmtId="164" fontId="0" fillId="4" borderId="0" xfId="0" applyNumberFormat="1" applyFill="1" applyAlignment="1">
      <alignment vertical="center"/>
    </xf>
    <xf numFmtId="0" fontId="0" fillId="4" borderId="0" xfId="0" applyFill="1"/>
    <xf numFmtId="167" fontId="5" fillId="4" borderId="0" xfId="0" applyNumberFormat="1" applyFont="1" applyFill="1" applyAlignment="1">
      <alignment vertical="center"/>
    </xf>
    <xf numFmtId="164" fontId="5" fillId="4" borderId="0" xfId="0" applyNumberFormat="1" applyFont="1" applyFill="1" applyAlignment="1">
      <alignment vertical="center"/>
    </xf>
    <xf numFmtId="164" fontId="0" fillId="4" borderId="0" xfId="0" applyNumberFormat="1" applyFill="1"/>
    <xf numFmtId="165" fontId="5" fillId="4" borderId="0" xfId="0" applyNumberFormat="1" applyFont="1" applyFill="1" applyAlignment="1">
      <alignment vertical="center"/>
    </xf>
    <xf numFmtId="165" fontId="5" fillId="4" borderId="0" xfId="0" quotePrefix="1" applyNumberFormat="1" applyFont="1" applyFill="1" applyAlignment="1">
      <alignment vertical="center"/>
    </xf>
    <xf numFmtId="165" fontId="0" fillId="4" borderId="0" xfId="0" applyNumberFormat="1" applyFill="1"/>
    <xf numFmtId="0" fontId="0" fillId="0" borderId="0" xfId="0" applyAlignment="1">
      <alignment vertical="center"/>
    </xf>
    <xf numFmtId="168" fontId="5" fillId="0" borderId="0" xfId="3" applyNumberFormat="1" applyFont="1" applyAlignment="1">
      <alignment vertical="center"/>
    </xf>
    <xf numFmtId="14" fontId="5" fillId="4" borderId="0" xfId="0" applyNumberFormat="1" applyFont="1" applyFill="1" applyAlignment="1">
      <alignment vertical="center"/>
    </xf>
    <xf numFmtId="14" fontId="5" fillId="0" borderId="0" xfId="0" applyNumberFormat="1" applyFont="1" applyAlignment="1">
      <alignment vertical="center"/>
    </xf>
    <xf numFmtId="10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5" fillId="0" borderId="0" xfId="0" applyNumberFormat="1" applyFont="1" applyAlignment="1">
      <alignment vertical="center"/>
    </xf>
    <xf numFmtId="3" fontId="0" fillId="0" borderId="0" xfId="0" applyNumberFormat="1"/>
    <xf numFmtId="167" fontId="5" fillId="0" borderId="0" xfId="0" applyNumberFormat="1" applyFont="1" applyAlignment="1">
      <alignment horizontal="left" vertical="center"/>
    </xf>
    <xf numFmtId="167" fontId="5" fillId="8" borderId="0" xfId="0" applyNumberFormat="1" applyFont="1" applyFill="1" applyAlignment="1">
      <alignment vertical="center"/>
    </xf>
    <xf numFmtId="164" fontId="5" fillId="8" borderId="0" xfId="0" applyNumberFormat="1" applyFont="1" applyFill="1" applyAlignment="1">
      <alignment vertical="center"/>
    </xf>
    <xf numFmtId="172" fontId="5" fillId="0" borderId="0" xfId="0" applyNumberFormat="1" applyFont="1" applyAlignment="1">
      <alignment horizontal="left" vertical="center"/>
    </xf>
    <xf numFmtId="167" fontId="5" fillId="8" borderId="0" xfId="0" applyNumberFormat="1" applyFont="1" applyFill="1" applyAlignment="1">
      <alignment horizontal="left" vertical="center"/>
    </xf>
    <xf numFmtId="164" fontId="5" fillId="0" borderId="0" xfId="2" applyNumberFormat="1" applyFont="1" applyAlignment="1">
      <alignment horizontal="left" vertical="center"/>
    </xf>
    <xf numFmtId="44" fontId="0" fillId="0" borderId="0" xfId="0" applyNumberFormat="1"/>
    <xf numFmtId="164" fontId="5" fillId="3" borderId="0" xfId="0" applyNumberFormat="1" applyFont="1" applyFill="1" applyAlignment="1">
      <alignment vertical="center"/>
    </xf>
    <xf numFmtId="0" fontId="0" fillId="3" borderId="0" xfId="0" applyFill="1"/>
    <xf numFmtId="164" fontId="5" fillId="4" borderId="2" xfId="0" applyNumberFormat="1" applyFont="1" applyFill="1" applyBorder="1" applyAlignment="1">
      <alignment horizontal="left" vertical="center"/>
    </xf>
    <xf numFmtId="165" fontId="0" fillId="0" borderId="12" xfId="2" applyNumberFormat="1" applyFont="1" applyBorder="1" applyAlignment="1">
      <alignment vertical="center"/>
    </xf>
    <xf numFmtId="10" fontId="5" fillId="2" borderId="12" xfId="0" applyNumberFormat="1" applyFont="1" applyFill="1" applyBorder="1" applyAlignment="1">
      <alignment vertical="center"/>
    </xf>
    <xf numFmtId="165" fontId="0" fillId="0" borderId="14" xfId="2" applyNumberFormat="1" applyFont="1" applyBorder="1" applyAlignment="1">
      <alignment vertical="center"/>
    </xf>
    <xf numFmtId="165" fontId="5" fillId="0" borderId="3" xfId="2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vertical="center"/>
    </xf>
    <xf numFmtId="164" fontId="0" fillId="0" borderId="12" xfId="1" applyNumberFormat="1" applyFont="1" applyBorder="1" applyAlignment="1">
      <alignment vertical="center"/>
    </xf>
    <xf numFmtId="164" fontId="0" fillId="0" borderId="14" xfId="1" applyNumberFormat="1" applyFont="1" applyBorder="1" applyAlignment="1">
      <alignment vertical="center"/>
    </xf>
    <xf numFmtId="44" fontId="5" fillId="0" borderId="0" xfId="0" applyNumberFormat="1" applyFont="1" applyAlignment="1">
      <alignment vertical="center"/>
    </xf>
    <xf numFmtId="164" fontId="5" fillId="0" borderId="3" xfId="1" applyNumberFormat="1" applyFont="1" applyBorder="1" applyAlignment="1">
      <alignment vertical="center"/>
    </xf>
    <xf numFmtId="164" fontId="0" fillId="0" borderId="0" xfId="1" applyNumberFormat="1" applyFont="1" applyBorder="1" applyAlignment="1">
      <alignment vertical="center"/>
    </xf>
    <xf numFmtId="164" fontId="0" fillId="0" borderId="9" xfId="1" applyNumberFormat="1" applyFont="1" applyBorder="1" applyAlignment="1">
      <alignment vertical="center"/>
    </xf>
    <xf numFmtId="1" fontId="5" fillId="8" borderId="0" xfId="0" applyNumberFormat="1" applyFont="1" applyFill="1" applyAlignment="1">
      <alignment vertical="center"/>
    </xf>
    <xf numFmtId="1" fontId="5" fillId="0" borderId="0" xfId="0" applyNumberFormat="1" applyFont="1" applyAlignment="1">
      <alignment vertical="center"/>
    </xf>
    <xf numFmtId="164" fontId="0" fillId="0" borderId="0" xfId="1" applyNumberFormat="1" applyFont="1" applyAlignment="1"/>
    <xf numFmtId="165" fontId="5" fillId="0" borderId="24" xfId="2" applyNumberFormat="1" applyFont="1" applyBorder="1" applyAlignment="1">
      <alignment horizontal="center" vertical="center"/>
    </xf>
    <xf numFmtId="164" fontId="5" fillId="0" borderId="24" xfId="1" applyNumberFormat="1" applyFont="1" applyBorder="1" applyAlignment="1">
      <alignment vertical="center"/>
    </xf>
    <xf numFmtId="164" fontId="0" fillId="0" borderId="10" xfId="1" applyNumberFormat="1" applyFont="1" applyBorder="1" applyAlignment="1">
      <alignment vertical="center"/>
    </xf>
    <xf numFmtId="167" fontId="6" fillId="8" borderId="0" xfId="0" applyNumberFormat="1" applyFont="1" applyFill="1" applyAlignment="1">
      <alignment horizontal="left" vertical="center"/>
    </xf>
    <xf numFmtId="164" fontId="6" fillId="8" borderId="0" xfId="0" applyNumberFormat="1" applyFont="1" applyFill="1" applyAlignment="1">
      <alignment vertical="center"/>
    </xf>
    <xf numFmtId="164" fontId="5" fillId="0" borderId="0" xfId="1" applyNumberFormat="1" applyFont="1" applyAlignment="1">
      <alignment vertical="center"/>
    </xf>
    <xf numFmtId="0" fontId="6" fillId="8" borderId="0" xfId="0" applyFont="1" applyFill="1" applyAlignment="1">
      <alignment horizontal="left" vertical="center"/>
    </xf>
    <xf numFmtId="165" fontId="6" fillId="8" borderId="0" xfId="0" applyNumberFormat="1" applyFont="1" applyFill="1" applyAlignment="1">
      <alignment vertical="center"/>
    </xf>
    <xf numFmtId="9" fontId="5" fillId="0" borderId="0" xfId="2" applyFont="1" applyAlignment="1">
      <alignment vertical="center"/>
    </xf>
    <xf numFmtId="10" fontId="5" fillId="0" borderId="0" xfId="2" applyNumberFormat="1" applyFont="1" applyAlignment="1">
      <alignment vertical="center"/>
    </xf>
    <xf numFmtId="165" fontId="5" fillId="0" borderId="0" xfId="2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0" fontId="3" fillId="6" borderId="17" xfId="0" applyFont="1" applyFill="1" applyBorder="1"/>
    <xf numFmtId="164" fontId="5" fillId="0" borderId="0" xfId="1" applyNumberFormat="1" applyFont="1" applyAlignment="1">
      <alignment horizontal="left" vertic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3" xfId="4" applyFont="1" applyBorder="1" applyAlignment="1">
      <alignment horizontal="left"/>
    </xf>
    <xf numFmtId="2" fontId="9" fillId="0" borderId="9" xfId="4" applyNumberFormat="1" applyFont="1" applyBorder="1" applyAlignment="1">
      <alignment horizontal="right"/>
    </xf>
    <xf numFmtId="0" fontId="3" fillId="6" borderId="3" xfId="0" applyFont="1" applyFill="1" applyBorder="1" applyAlignment="1">
      <alignment horizontal="center"/>
    </xf>
    <xf numFmtId="2" fontId="3" fillId="6" borderId="9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9" xfId="0" applyNumberFormat="1" applyBorder="1" applyAlignment="1">
      <alignment horizontal="center"/>
    </xf>
    <xf numFmtId="0" fontId="2" fillId="3" borderId="18" xfId="0" applyFont="1" applyFill="1" applyBorder="1"/>
    <xf numFmtId="0" fontId="2" fillId="3" borderId="18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164" fontId="0" fillId="0" borderId="16" xfId="1" applyNumberFormat="1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16" fontId="0" fillId="0" borderId="0" xfId="0" applyNumberFormat="1"/>
    <xf numFmtId="0" fontId="3" fillId="0" borderId="17" xfId="0" applyFont="1" applyBorder="1"/>
    <xf numFmtId="164" fontId="0" fillId="0" borderId="17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3" fillId="11" borderId="8" xfId="0" applyFont="1" applyFill="1" applyBorder="1"/>
    <xf numFmtId="165" fontId="3" fillId="0" borderId="0" xfId="2" applyNumberFormat="1" applyFont="1" applyFill="1" applyBorder="1"/>
    <xf numFmtId="164" fontId="0" fillId="2" borderId="14" xfId="1" applyNumberFormat="1" applyFont="1" applyFill="1" applyBorder="1"/>
    <xf numFmtId="0" fontId="0" fillId="0" borderId="3" xfId="0" applyBorder="1" applyAlignment="1">
      <alignment horizontal="left"/>
    </xf>
    <xf numFmtId="1" fontId="0" fillId="0" borderId="0" xfId="1" applyNumberFormat="1" applyFont="1" applyFill="1" applyBorder="1"/>
    <xf numFmtId="1" fontId="0" fillId="0" borderId="9" xfId="1" applyNumberFormat="1" applyFont="1" applyFill="1" applyBorder="1"/>
    <xf numFmtId="0" fontId="3" fillId="8" borderId="0" xfId="0" applyFont="1" applyFill="1"/>
    <xf numFmtId="1" fontId="0" fillId="0" borderId="0" xfId="2" applyNumberFormat="1" applyFont="1"/>
    <xf numFmtId="174" fontId="0" fillId="0" borderId="0" xfId="0" applyNumberFormat="1"/>
    <xf numFmtId="10" fontId="2" fillId="9" borderId="24" xfId="0" applyNumberFormat="1" applyFont="1" applyFill="1" applyBorder="1" applyAlignment="1">
      <alignment horizontal="left" vertical="center"/>
    </xf>
    <xf numFmtId="164" fontId="2" fillId="9" borderId="10" xfId="2" applyNumberFormat="1" applyFont="1" applyFill="1" applyBorder="1"/>
    <xf numFmtId="164" fontId="2" fillId="9" borderId="21" xfId="2" applyNumberFormat="1" applyFont="1" applyFill="1" applyBorder="1"/>
    <xf numFmtId="0" fontId="2" fillId="3" borderId="22" xfId="0" applyFont="1" applyFill="1" applyBorder="1" applyAlignment="1">
      <alignment horizontal="right"/>
    </xf>
    <xf numFmtId="164" fontId="0" fillId="0" borderId="22" xfId="1" applyNumberFormat="1" applyFont="1" applyBorder="1"/>
    <xf numFmtId="164" fontId="3" fillId="0" borderId="20" xfId="1" applyNumberFormat="1" applyFont="1" applyBorder="1"/>
    <xf numFmtId="164" fontId="0" fillId="0" borderId="23" xfId="1" applyNumberFormat="1" applyFont="1" applyBorder="1"/>
    <xf numFmtId="164" fontId="3" fillId="2" borderId="20" xfId="1" applyNumberFormat="1" applyFont="1" applyFill="1" applyBorder="1"/>
    <xf numFmtId="164" fontId="3" fillId="4" borderId="20" xfId="1" applyNumberFormat="1" applyFont="1" applyFill="1" applyBorder="1"/>
    <xf numFmtId="164" fontId="3" fillId="4" borderId="21" xfId="1" applyNumberFormat="1" applyFont="1" applyFill="1" applyBorder="1"/>
    <xf numFmtId="1" fontId="0" fillId="0" borderId="22" xfId="1" applyNumberFormat="1" applyFont="1" applyBorder="1"/>
    <xf numFmtId="1" fontId="0" fillId="0" borderId="20" xfId="1" applyNumberFormat="1" applyFont="1" applyFill="1" applyBorder="1"/>
    <xf numFmtId="1" fontId="0" fillId="0" borderId="20" xfId="1" applyNumberFormat="1" applyFont="1" applyBorder="1"/>
    <xf numFmtId="1" fontId="0" fillId="0" borderId="21" xfId="1" applyNumberFormat="1" applyFont="1" applyBorder="1"/>
    <xf numFmtId="166" fontId="0" fillId="0" borderId="20" xfId="0" applyNumberFormat="1" applyBorder="1"/>
    <xf numFmtId="166" fontId="3" fillId="0" borderId="20" xfId="0" applyNumberFormat="1" applyFont="1" applyBorder="1"/>
    <xf numFmtId="166" fontId="0" fillId="0" borderId="20" xfId="1" applyNumberFormat="1" applyFont="1" applyBorder="1"/>
    <xf numFmtId="0" fontId="0" fillId="0" borderId="20" xfId="0" applyBorder="1"/>
    <xf numFmtId="166" fontId="3" fillId="0" borderId="20" xfId="1" applyNumberFormat="1" applyFont="1" applyBorder="1"/>
    <xf numFmtId="9" fontId="0" fillId="0" borderId="20" xfId="2" applyFont="1" applyBorder="1"/>
    <xf numFmtId="1" fontId="0" fillId="7" borderId="20" xfId="1" applyNumberFormat="1" applyFont="1" applyFill="1" applyBorder="1"/>
    <xf numFmtId="1" fontId="0" fillId="7" borderId="21" xfId="1" applyNumberFormat="1" applyFont="1" applyFill="1" applyBorder="1"/>
    <xf numFmtId="165" fontId="3" fillId="8" borderId="0" xfId="2" applyNumberFormat="1" applyFont="1" applyFill="1" applyBorder="1"/>
    <xf numFmtId="165" fontId="3" fillId="8" borderId="20" xfId="2" applyNumberFormat="1" applyFont="1" applyFill="1" applyBorder="1"/>
    <xf numFmtId="10" fontId="3" fillId="0" borderId="0" xfId="0" applyNumberFormat="1" applyFont="1"/>
    <xf numFmtId="0" fontId="0" fillId="0" borderId="16" xfId="0" applyBorder="1" applyAlignment="1">
      <alignment horizontal="left" indent="2"/>
    </xf>
    <xf numFmtId="164" fontId="0" fillId="0" borderId="4" xfId="1" applyNumberFormat="1" applyFont="1" applyFill="1" applyBorder="1"/>
    <xf numFmtId="164" fontId="0" fillId="0" borderId="13" xfId="1" applyNumberFormat="1" applyFont="1" applyFill="1" applyBorder="1"/>
    <xf numFmtId="164" fontId="0" fillId="0" borderId="15" xfId="1" applyNumberFormat="1" applyFont="1" applyFill="1" applyBorder="1"/>
    <xf numFmtId="0" fontId="0" fillId="0" borderId="28" xfId="0" applyBorder="1" applyAlignment="1">
      <alignment horizontal="left" indent="1"/>
    </xf>
    <xf numFmtId="175" fontId="0" fillId="0" borderId="0" xfId="3" applyNumberFormat="1" applyFont="1"/>
    <xf numFmtId="0" fontId="3" fillId="2" borderId="0" xfId="0" applyFont="1" applyFill="1" applyAlignment="1">
      <alignment vertical="center"/>
    </xf>
    <xf numFmtId="164" fontId="0" fillId="0" borderId="20" xfId="1" applyNumberFormat="1" applyFont="1" applyFill="1" applyBorder="1"/>
    <xf numFmtId="164" fontId="6" fillId="12" borderId="16" xfId="0" applyNumberFormat="1" applyFont="1" applyFill="1" applyBorder="1" applyAlignment="1">
      <alignment horizontal="left" vertical="center"/>
    </xf>
    <xf numFmtId="164" fontId="6" fillId="12" borderId="0" xfId="0" applyNumberFormat="1" applyFont="1" applyFill="1" applyAlignment="1">
      <alignment horizontal="left" vertical="center"/>
    </xf>
    <xf numFmtId="164" fontId="6" fillId="12" borderId="9" xfId="0" applyNumberFormat="1" applyFont="1" applyFill="1" applyBorder="1" applyAlignment="1">
      <alignment horizontal="left" vertical="center"/>
    </xf>
    <xf numFmtId="0" fontId="3" fillId="12" borderId="17" xfId="0" applyFont="1" applyFill="1" applyBorder="1" applyAlignment="1">
      <alignment vertical="center"/>
    </xf>
    <xf numFmtId="164" fontId="3" fillId="12" borderId="10" xfId="0" applyNumberFormat="1" applyFont="1" applyFill="1" applyBorder="1" applyAlignment="1">
      <alignment vertical="center"/>
    </xf>
    <xf numFmtId="164" fontId="3" fillId="12" borderId="11" xfId="0" applyNumberFormat="1" applyFont="1" applyFill="1" applyBorder="1" applyAlignment="1">
      <alignment vertical="center"/>
    </xf>
    <xf numFmtId="164" fontId="0" fillId="6" borderId="1" xfId="1" applyNumberFormat="1" applyFont="1" applyFill="1" applyBorder="1"/>
    <xf numFmtId="164" fontId="0" fillId="6" borderId="5" xfId="1" applyNumberFormat="1" applyFont="1" applyFill="1" applyBorder="1"/>
    <xf numFmtId="164" fontId="0" fillId="6" borderId="7" xfId="1" applyNumberFormat="1" applyFont="1" applyFill="1" applyBorder="1"/>
    <xf numFmtId="10" fontId="0" fillId="0" borderId="0" xfId="2" applyNumberFormat="1" applyFont="1"/>
    <xf numFmtId="0" fontId="0" fillId="11" borderId="3" xfId="0" applyFill="1" applyBorder="1" applyAlignment="1">
      <alignment horizontal="left" indent="1"/>
    </xf>
    <xf numFmtId="164" fontId="0" fillId="11" borderId="0" xfId="1" applyNumberFormat="1" applyFont="1" applyFill="1" applyBorder="1"/>
    <xf numFmtId="164" fontId="0" fillId="11" borderId="9" xfId="1" applyNumberFormat="1" applyFont="1" applyFill="1" applyBorder="1"/>
    <xf numFmtId="0" fontId="0" fillId="11" borderId="0" xfId="0" applyFill="1"/>
    <xf numFmtId="165" fontId="3" fillId="8" borderId="9" xfId="2" applyNumberFormat="1" applyFont="1" applyFill="1" applyBorder="1"/>
    <xf numFmtId="9" fontId="0" fillId="7" borderId="20" xfId="2" applyFont="1" applyFill="1" applyBorder="1"/>
    <xf numFmtId="164" fontId="1" fillId="0" borderId="12" xfId="1" applyNumberFormat="1" applyFont="1" applyFill="1" applyBorder="1"/>
    <xf numFmtId="164" fontId="1" fillId="0" borderId="14" xfId="1" applyNumberFormat="1" applyFont="1" applyFill="1" applyBorder="1"/>
    <xf numFmtId="164" fontId="1" fillId="0" borderId="0" xfId="1" applyNumberFormat="1" applyFont="1" applyFill="1" applyBorder="1"/>
    <xf numFmtId="164" fontId="1" fillId="0" borderId="9" xfId="1" applyNumberFormat="1" applyFont="1" applyFill="1" applyBorder="1"/>
    <xf numFmtId="165" fontId="4" fillId="0" borderId="0" xfId="2" applyNumberFormat="1" applyFont="1" applyFill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9" fontId="0" fillId="0" borderId="10" xfId="2" applyFont="1" applyFill="1" applyBorder="1"/>
    <xf numFmtId="0" fontId="3" fillId="0" borderId="1" xfId="0" applyFont="1" applyBorder="1"/>
    <xf numFmtId="1" fontId="0" fillId="0" borderId="5" xfId="0" applyNumberFormat="1" applyBorder="1"/>
    <xf numFmtId="1" fontId="0" fillId="0" borderId="7" xfId="0" applyNumberFormat="1" applyBorder="1"/>
    <xf numFmtId="165" fontId="1" fillId="0" borderId="0" xfId="2" applyNumberFormat="1" applyFont="1" applyFill="1" applyBorder="1"/>
    <xf numFmtId="168" fontId="0" fillId="0" borderId="0" xfId="3" applyNumberFormat="1" applyFont="1"/>
    <xf numFmtId="0" fontId="0" fillId="11" borderId="16" xfId="0" applyFill="1" applyBorder="1" applyAlignment="1">
      <alignment horizontal="left" indent="1"/>
    </xf>
    <xf numFmtId="164" fontId="0" fillId="11" borderId="3" xfId="1" applyNumberFormat="1" applyFont="1" applyFill="1" applyBorder="1"/>
    <xf numFmtId="164" fontId="0" fillId="11" borderId="0" xfId="0" applyNumberFormat="1" applyFill="1"/>
    <xf numFmtId="164" fontId="0" fillId="11" borderId="20" xfId="0" applyNumberForma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13" borderId="0" xfId="0" applyFont="1" applyFill="1"/>
    <xf numFmtId="164" fontId="0" fillId="14" borderId="0" xfId="1" applyNumberFormat="1" applyFont="1" applyFill="1" applyBorder="1"/>
    <xf numFmtId="164" fontId="0" fillId="14" borderId="20" xfId="1" applyNumberFormat="1" applyFont="1" applyFill="1" applyBorder="1"/>
    <xf numFmtId="164" fontId="3" fillId="14" borderId="0" xfId="1" applyNumberFormat="1" applyFont="1" applyFill="1" applyBorder="1"/>
    <xf numFmtId="164" fontId="3" fillId="14" borderId="20" xfId="1" applyNumberFormat="1" applyFont="1" applyFill="1" applyBorder="1"/>
    <xf numFmtId="164" fontId="0" fillId="14" borderId="9" xfId="1" applyNumberFormat="1" applyFont="1" applyFill="1" applyBorder="1"/>
    <xf numFmtId="164" fontId="3" fillId="14" borderId="9" xfId="1" applyNumberFormat="1" applyFont="1" applyFill="1" applyBorder="1"/>
    <xf numFmtId="0" fontId="0" fillId="11" borderId="16" xfId="0" applyFill="1" applyBorder="1" applyAlignment="1">
      <alignment horizontal="left" indent="2"/>
    </xf>
    <xf numFmtId="0" fontId="3" fillId="11" borderId="0" xfId="0" applyFont="1" applyFill="1"/>
    <xf numFmtId="0" fontId="0" fillId="10" borderId="0" xfId="0" applyFill="1"/>
    <xf numFmtId="0" fontId="0" fillId="10" borderId="3" xfId="0" applyFill="1" applyBorder="1" applyAlignment="1">
      <alignment horizontal="left" indent="2"/>
    </xf>
    <xf numFmtId="164" fontId="0" fillId="11" borderId="3" xfId="0" applyNumberFormat="1" applyFill="1" applyBorder="1"/>
    <xf numFmtId="0" fontId="0" fillId="11" borderId="19" xfId="0" applyFill="1" applyBorder="1" applyAlignment="1">
      <alignment horizontal="left" indent="1"/>
    </xf>
    <xf numFmtId="164" fontId="0" fillId="11" borderId="4" xfId="0" applyNumberFormat="1" applyFill="1" applyBorder="1"/>
    <xf numFmtId="164" fontId="0" fillId="11" borderId="13" xfId="0" applyNumberFormat="1" applyFill="1" applyBorder="1"/>
    <xf numFmtId="164" fontId="0" fillId="11" borderId="23" xfId="0" applyNumberFormat="1" applyFill="1" applyBorder="1"/>
    <xf numFmtId="164" fontId="0" fillId="11" borderId="13" xfId="1" applyNumberFormat="1" applyFont="1" applyFill="1" applyBorder="1"/>
    <xf numFmtId="164" fontId="0" fillId="11" borderId="15" xfId="1" applyNumberFormat="1" applyFont="1" applyFill="1" applyBorder="1"/>
    <xf numFmtId="164" fontId="0" fillId="11" borderId="4" xfId="1" applyNumberFormat="1" applyFont="1" applyFill="1" applyBorder="1"/>
    <xf numFmtId="0" fontId="0" fillId="11" borderId="3" xfId="0" applyFill="1" applyBorder="1"/>
    <xf numFmtId="0" fontId="3" fillId="14" borderId="3" xfId="0" applyFont="1" applyFill="1" applyBorder="1"/>
    <xf numFmtId="44" fontId="0" fillId="14" borderId="0" xfId="1" applyFont="1" applyFill="1" applyBorder="1"/>
    <xf numFmtId="0" fontId="0" fillId="14" borderId="0" xfId="0" applyFill="1"/>
    <xf numFmtId="1" fontId="0" fillId="14" borderId="0" xfId="1" applyNumberFormat="1" applyFont="1" applyFill="1" applyBorder="1"/>
    <xf numFmtId="1" fontId="0" fillId="14" borderId="9" xfId="1" applyNumberFormat="1" applyFont="1" applyFill="1" applyBorder="1"/>
    <xf numFmtId="0" fontId="0" fillId="15" borderId="3" xfId="0" applyFill="1" applyBorder="1"/>
    <xf numFmtId="164" fontId="0" fillId="15" borderId="0" xfId="1" applyNumberFormat="1" applyFont="1" applyFill="1" applyBorder="1"/>
    <xf numFmtId="164" fontId="0" fillId="15" borderId="9" xfId="1" applyNumberFormat="1" applyFont="1" applyFill="1" applyBorder="1"/>
    <xf numFmtId="0" fontId="0" fillId="15" borderId="0" xfId="0" applyFill="1"/>
    <xf numFmtId="9" fontId="0" fillId="15" borderId="0" xfId="2" applyFont="1" applyFill="1" applyBorder="1"/>
    <xf numFmtId="9" fontId="0" fillId="15" borderId="9" xfId="2" applyFont="1" applyFill="1" applyBorder="1"/>
    <xf numFmtId="0" fontId="3" fillId="11" borderId="3" xfId="0" applyFont="1" applyFill="1" applyBorder="1" applyAlignment="1">
      <alignment horizontal="left" indent="1"/>
    </xf>
    <xf numFmtId="164" fontId="3" fillId="11" borderId="0" xfId="1" applyNumberFormat="1" applyFont="1" applyFill="1" applyBorder="1"/>
    <xf numFmtId="164" fontId="3" fillId="11" borderId="9" xfId="1" applyNumberFormat="1" applyFont="1" applyFill="1" applyBorder="1"/>
    <xf numFmtId="164" fontId="5" fillId="11" borderId="16" xfId="0" applyNumberFormat="1" applyFont="1" applyFill="1" applyBorder="1" applyAlignment="1">
      <alignment horizontal="left" vertical="center"/>
    </xf>
    <xf numFmtId="164" fontId="5" fillId="11" borderId="0" xfId="0" applyNumberFormat="1" applyFont="1" applyFill="1" applyAlignment="1">
      <alignment horizontal="left" vertical="center"/>
    </xf>
    <xf numFmtId="164" fontId="5" fillId="11" borderId="9" xfId="0" applyNumberFormat="1" applyFont="1" applyFill="1" applyBorder="1" applyAlignment="1">
      <alignment horizontal="left" vertical="center"/>
    </xf>
    <xf numFmtId="0" fontId="0" fillId="11" borderId="2" xfId="0" applyFill="1" applyBorder="1" applyAlignment="1">
      <alignment vertical="top"/>
    </xf>
    <xf numFmtId="166" fontId="0" fillId="11" borderId="12" xfId="1" applyNumberFormat="1" applyFont="1" applyFill="1" applyBorder="1"/>
    <xf numFmtId="166" fontId="0" fillId="11" borderId="22" xfId="1" applyNumberFormat="1" applyFont="1" applyFill="1" applyBorder="1"/>
    <xf numFmtId="166" fontId="0" fillId="11" borderId="14" xfId="1" applyNumberFormat="1" applyFont="1" applyFill="1" applyBorder="1"/>
    <xf numFmtId="0" fontId="0" fillId="11" borderId="3" xfId="0" applyFill="1" applyBorder="1" applyAlignment="1">
      <alignment horizontal="left"/>
    </xf>
    <xf numFmtId="166" fontId="0" fillId="11" borderId="0" xfId="1" applyNumberFormat="1" applyFont="1" applyFill="1" applyBorder="1"/>
    <xf numFmtId="166" fontId="0" fillId="11" borderId="20" xfId="1" applyNumberFormat="1" applyFont="1" applyFill="1" applyBorder="1"/>
    <xf numFmtId="166" fontId="0" fillId="11" borderId="9" xfId="1" applyNumberFormat="1" applyFont="1" applyFill="1" applyBorder="1"/>
    <xf numFmtId="0" fontId="3" fillId="14" borderId="8" xfId="0" applyFont="1" applyFill="1" applyBorder="1"/>
    <xf numFmtId="164" fontId="0" fillId="14" borderId="10" xfId="0" applyNumberFormat="1" applyFill="1" applyBorder="1"/>
    <xf numFmtId="164" fontId="0" fillId="14" borderId="21" xfId="0" applyNumberFormat="1" applyFill="1" applyBorder="1"/>
    <xf numFmtId="164" fontId="0" fillId="14" borderId="10" xfId="1" applyNumberFormat="1" applyFont="1" applyFill="1" applyBorder="1"/>
    <xf numFmtId="164" fontId="0" fillId="14" borderId="11" xfId="1" applyNumberFormat="1" applyFont="1" applyFill="1" applyBorder="1"/>
    <xf numFmtId="164" fontId="6" fillId="11" borderId="16" xfId="0" applyNumberFormat="1" applyFont="1" applyFill="1" applyBorder="1" applyAlignment="1">
      <alignment horizontal="left" vertical="center"/>
    </xf>
    <xf numFmtId="164" fontId="6" fillId="11" borderId="0" xfId="0" applyNumberFormat="1" applyFont="1" applyFill="1" applyAlignment="1">
      <alignment horizontal="left" vertical="center"/>
    </xf>
    <xf numFmtId="164" fontId="6" fillId="11" borderId="9" xfId="0" applyNumberFormat="1" applyFont="1" applyFill="1" applyBorder="1" applyAlignment="1">
      <alignment horizontal="left" vertical="center"/>
    </xf>
    <xf numFmtId="164" fontId="0" fillId="11" borderId="20" xfId="1" applyNumberFormat="1" applyFont="1" applyFill="1" applyBorder="1"/>
    <xf numFmtId="10" fontId="5" fillId="13" borderId="0" xfId="0" applyNumberFormat="1" applyFont="1" applyFill="1" applyAlignment="1">
      <alignment vertical="center"/>
    </xf>
    <xf numFmtId="165" fontId="5" fillId="13" borderId="0" xfId="0" applyNumberFormat="1" applyFont="1" applyFill="1" applyAlignment="1">
      <alignment vertical="center"/>
    </xf>
    <xf numFmtId="10" fontId="0" fillId="0" borderId="10" xfId="2" applyNumberFormat="1" applyFont="1" applyBorder="1"/>
    <xf numFmtId="10" fontId="0" fillId="0" borderId="11" xfId="2" applyNumberFormat="1" applyFont="1" applyBorder="1"/>
    <xf numFmtId="176" fontId="0" fillId="0" borderId="14" xfId="0" applyNumberFormat="1" applyBorder="1"/>
    <xf numFmtId="176" fontId="0" fillId="0" borderId="9" xfId="0" applyNumberFormat="1" applyBorder="1"/>
    <xf numFmtId="176" fontId="0" fillId="0" borderId="12" xfId="0" applyNumberFormat="1" applyBorder="1"/>
    <xf numFmtId="176" fontId="0" fillId="0" borderId="0" xfId="0" applyNumberFormat="1"/>
    <xf numFmtId="176" fontId="0" fillId="2" borderId="12" xfId="0" applyNumberFormat="1" applyFill="1" applyBorder="1"/>
    <xf numFmtId="176" fontId="0" fillId="0" borderId="0" xfId="2" applyNumberFormat="1" applyFont="1" applyBorder="1"/>
    <xf numFmtId="176" fontId="0" fillId="0" borderId="9" xfId="2" applyNumberFormat="1" applyFont="1" applyBorder="1"/>
    <xf numFmtId="0" fontId="0" fillId="2" borderId="16" xfId="0" applyFill="1" applyBorder="1"/>
    <xf numFmtId="10" fontId="6" fillId="2" borderId="3" xfId="0" applyNumberFormat="1" applyFont="1" applyFill="1" applyBorder="1" applyAlignment="1">
      <alignment horizontal="left" vertical="center"/>
    </xf>
    <xf numFmtId="164" fontId="2" fillId="9" borderId="11" xfId="2" applyNumberFormat="1" applyFont="1" applyFill="1" applyBorder="1"/>
    <xf numFmtId="176" fontId="0" fillId="14" borderId="0" xfId="1" applyNumberFormat="1" applyFont="1" applyFill="1" applyBorder="1"/>
    <xf numFmtId="4" fontId="0" fillId="0" borderId="0" xfId="0" applyNumberFormat="1"/>
    <xf numFmtId="15" fontId="0" fillId="0" borderId="0" xfId="0" applyNumberFormat="1"/>
    <xf numFmtId="177" fontId="0" fillId="11" borderId="9" xfId="3" applyNumberFormat="1" applyFont="1" applyFill="1" applyBorder="1"/>
    <xf numFmtId="10" fontId="0" fillId="11" borderId="9" xfId="2" applyNumberFormat="1" applyFont="1" applyFill="1" applyBorder="1"/>
    <xf numFmtId="10" fontId="0" fillId="11" borderId="9" xfId="0" applyNumberFormat="1" applyFill="1" applyBorder="1"/>
    <xf numFmtId="9" fontId="0" fillId="11" borderId="9" xfId="0" applyNumberFormat="1" applyFill="1" applyBorder="1"/>
    <xf numFmtId="10" fontId="3" fillId="11" borderId="9" xfId="0" applyNumberFormat="1" applyFont="1" applyFill="1" applyBorder="1"/>
    <xf numFmtId="0" fontId="0" fillId="11" borderId="9" xfId="0" applyFill="1" applyBorder="1"/>
    <xf numFmtId="165" fontId="3" fillId="11" borderId="9" xfId="2" applyNumberFormat="1" applyFont="1" applyFill="1" applyBorder="1" applyAlignment="1">
      <alignment vertical="center"/>
    </xf>
    <xf numFmtId="10" fontId="3" fillId="11" borderId="9" xfId="0" applyNumberFormat="1" applyFont="1" applyFill="1" applyBorder="1" applyAlignment="1">
      <alignment vertical="center"/>
    </xf>
    <xf numFmtId="9" fontId="0" fillId="11" borderId="9" xfId="2" applyFont="1" applyFill="1" applyBorder="1"/>
    <xf numFmtId="10" fontId="0" fillId="11" borderId="15" xfId="0" applyNumberFormat="1" applyFill="1" applyBorder="1"/>
    <xf numFmtId="10" fontId="3" fillId="11" borderId="11" xfId="2" applyNumberFormat="1" applyFont="1" applyFill="1" applyBorder="1" applyAlignment="1">
      <alignment vertical="center"/>
    </xf>
    <xf numFmtId="0" fontId="3" fillId="11" borderId="2" xfId="0" applyFont="1" applyFill="1" applyBorder="1"/>
    <xf numFmtId="0" fontId="3" fillId="11" borderId="3" xfId="0" applyFont="1" applyFill="1" applyBorder="1"/>
    <xf numFmtId="0" fontId="0" fillId="11" borderId="3" xfId="0" applyFill="1" applyBorder="1" applyAlignment="1">
      <alignment vertical="center"/>
    </xf>
    <xf numFmtId="0" fontId="3" fillId="11" borderId="3" xfId="0" applyFont="1" applyFill="1" applyBorder="1" applyAlignment="1">
      <alignment vertical="center"/>
    </xf>
    <xf numFmtId="0" fontId="3" fillId="11" borderId="4" xfId="0" applyFont="1" applyFill="1" applyBorder="1" applyAlignment="1">
      <alignment vertical="center"/>
    </xf>
    <xf numFmtId="0" fontId="3" fillId="11" borderId="24" xfId="0" applyFont="1" applyFill="1" applyBorder="1" applyAlignment="1">
      <alignment vertical="center"/>
    </xf>
    <xf numFmtId="10" fontId="3" fillId="4" borderId="7" xfId="2" applyNumberFormat="1" applyFont="1" applyFill="1" applyBorder="1"/>
    <xf numFmtId="10" fontId="0" fillId="11" borderId="0" xfId="0" applyNumberFormat="1" applyFill="1"/>
    <xf numFmtId="44" fontId="0" fillId="11" borderId="0" xfId="0" applyNumberFormat="1" applyFill="1"/>
    <xf numFmtId="1" fontId="0" fillId="11" borderId="0" xfId="0" applyNumberFormat="1" applyFill="1"/>
    <xf numFmtId="164" fontId="0" fillId="2" borderId="11" xfId="1" applyNumberFormat="1" applyFont="1" applyFill="1" applyBorder="1" applyAlignment="1">
      <alignment vertical="center"/>
    </xf>
    <xf numFmtId="164" fontId="1" fillId="2" borderId="0" xfId="1" applyNumberFormat="1" applyFont="1" applyFill="1" applyBorder="1" applyAlignment="1">
      <alignment vertical="center"/>
    </xf>
    <xf numFmtId="165" fontId="0" fillId="11" borderId="25" xfId="0" applyNumberFormat="1" applyFill="1" applyBorder="1"/>
    <xf numFmtId="165" fontId="0" fillId="11" borderId="26" xfId="0" applyNumberFormat="1" applyFill="1" applyBorder="1"/>
    <xf numFmtId="0" fontId="0" fillId="11" borderId="24" xfId="0" applyFill="1" applyBorder="1"/>
    <xf numFmtId="165" fontId="0" fillId="11" borderId="27" xfId="0" applyNumberFormat="1" applyFill="1" applyBorder="1"/>
    <xf numFmtId="9" fontId="0" fillId="11" borderId="11" xfId="0" applyNumberFormat="1" applyFill="1" applyBorder="1"/>
    <xf numFmtId="0" fontId="3" fillId="11" borderId="18" xfId="0" applyFont="1" applyFill="1" applyBorder="1"/>
    <xf numFmtId="0" fontId="0" fillId="11" borderId="14" xfId="0" applyFill="1" applyBorder="1"/>
    <xf numFmtId="0" fontId="3" fillId="11" borderId="17" xfId="0" applyFont="1" applyFill="1" applyBorder="1"/>
    <xf numFmtId="1" fontId="0" fillId="11" borderId="11" xfId="0" applyNumberFormat="1" applyFill="1" applyBorder="1"/>
    <xf numFmtId="167" fontId="6" fillId="0" borderId="0" xfId="0" applyNumberFormat="1" applyFont="1" applyAlignment="1">
      <alignment horizontal="left" vertical="center"/>
    </xf>
    <xf numFmtId="0" fontId="0" fillId="16" borderId="16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7" fontId="2" fillId="3" borderId="0" xfId="0" applyNumberFormat="1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173" fontId="3" fillId="11" borderId="5" xfId="1" applyNumberFormat="1" applyFont="1" applyFill="1" applyBorder="1" applyAlignment="1">
      <alignment horizontal="center"/>
    </xf>
    <xf numFmtId="173" fontId="3" fillId="11" borderId="7" xfId="1" applyNumberFormat="1" applyFont="1" applyFill="1" applyBorder="1" applyAlignment="1">
      <alignment horizontal="center"/>
    </xf>
    <xf numFmtId="0" fontId="0" fillId="0" borderId="0" xfId="0" applyFill="1"/>
    <xf numFmtId="0" fontId="3" fillId="0" borderId="0" xfId="0" applyFont="1" applyFill="1"/>
    <xf numFmtId="10" fontId="0" fillId="0" borderId="0" xfId="0" applyNumberFormat="1" applyFill="1"/>
    <xf numFmtId="0" fontId="0" fillId="11" borderId="1" xfId="0" applyFill="1" applyBorder="1"/>
    <xf numFmtId="0" fontId="0" fillId="11" borderId="8" xfId="0" applyFill="1" applyBorder="1"/>
    <xf numFmtId="164" fontId="0" fillId="0" borderId="0" xfId="0" applyNumberFormat="1" applyFill="1"/>
  </cellXfs>
  <cellStyles count="5">
    <cellStyle name="Comma" xfId="3" builtinId="3"/>
    <cellStyle name="Currency" xfId="1" builtinId="4"/>
    <cellStyle name="defaultsheetstyle" xfId="4" xr:uid="{B76BE44E-A5A9-44A9-B990-1A8F5EB845C9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571504</xdr:colOff>
      <xdr:row>25</xdr:row>
      <xdr:rowOff>180974</xdr:rowOff>
    </xdr:from>
    <xdr:to>
      <xdr:col>9</xdr:col>
      <xdr:colOff>9528</xdr:colOff>
      <xdr:row>33</xdr:row>
      <xdr:rowOff>9524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FB4BD2-8127-4065-8EAE-0EF1ECF97A2C}"/>
            </a:ext>
          </a:extLst>
        </xdr:cNvPr>
        <xdr:cNvSpPr txBox="1"/>
      </xdr:nvSpPr>
      <xdr:spPr>
        <a:xfrm rot="16200000">
          <a:off x="8255321" y="5260657"/>
          <a:ext cx="1314450" cy="299084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/>
            <a:t>Terminal</a:t>
          </a:r>
          <a:r>
            <a:rPr lang="en-IN" sz="900" b="1" baseline="0"/>
            <a:t> Growth Rate</a:t>
          </a:r>
          <a:endParaRPr lang="en-IN" sz="900" b="1"/>
        </a:p>
      </xdr:txBody>
    </xdr:sp>
    <xdr:clientData/>
  </xdr:twoCellAnchor>
  <xdr:twoCellAnchor>
    <xdr:from>
      <xdr:col>11</xdr:col>
      <xdr:colOff>639440</xdr:colOff>
      <xdr:row>24</xdr:row>
      <xdr:rowOff>163184</xdr:rowOff>
    </xdr:from>
    <xdr:to>
      <xdr:col>13</xdr:col>
      <xdr:colOff>24349</xdr:colOff>
      <xdr:row>26</xdr:row>
      <xdr:rowOff>34038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B4EF78-35BF-4258-9737-1175E85FD21D}"/>
            </a:ext>
          </a:extLst>
        </xdr:cNvPr>
        <xdr:cNvSpPr txBox="1"/>
      </xdr:nvSpPr>
      <xdr:spPr>
        <a:xfrm>
          <a:off x="11414120" y="4552304"/>
          <a:ext cx="1107029" cy="236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/>
            <a:t>WACC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049A-A97D-4433-9910-462652F6AB31}">
  <dimension ref="A1:AU88"/>
  <sheetViews>
    <sheetView showGridLines="0" tabSelected="1" zoomScale="90" zoomScaleNormal="90" workbookViewId="0">
      <selection activeCell="A41" sqref="A41:A43"/>
    </sheetView>
  </sheetViews>
  <sheetFormatPr defaultRowHeight="14.5" outlineLevelCol="1"/>
  <cols>
    <col min="2" max="2" width="47.36328125" customWidth="1"/>
    <col min="3" max="3" width="10.36328125" hidden="1" customWidth="1" outlineLevel="1"/>
    <col min="4" max="4" width="9.81640625" hidden="1" customWidth="1" outlineLevel="1"/>
    <col min="5" max="5" width="9.81640625" bestFit="1" customWidth="1" collapsed="1"/>
    <col min="6" max="6" width="9.81640625" bestFit="1" customWidth="1"/>
    <col min="7" max="8" width="11.36328125" bestFit="1" customWidth="1"/>
    <col min="9" max="9" width="11.08984375" customWidth="1"/>
    <col min="10" max="10" width="15.1796875" customWidth="1"/>
    <col min="11" max="13" width="12" customWidth="1"/>
    <col min="14" max="14" width="14.08984375" customWidth="1"/>
    <col min="15" max="15" width="12.1796875" bestFit="1" customWidth="1"/>
    <col min="16" max="16" width="23.6328125" customWidth="1"/>
    <col min="17" max="17" width="11" customWidth="1"/>
    <col min="18" max="18" width="10.36328125" bestFit="1" customWidth="1"/>
  </cols>
  <sheetData>
    <row r="1" spans="1:38">
      <c r="B1" s="1" t="s">
        <v>294</v>
      </c>
    </row>
    <row r="2" spans="1:38" ht="15" thickBot="1">
      <c r="B2" s="2"/>
    </row>
    <row r="3" spans="1:38" ht="15" thickBot="1">
      <c r="B3" s="6" t="s">
        <v>0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136</v>
      </c>
      <c r="I3" s="4" t="s">
        <v>206</v>
      </c>
      <c r="J3" s="3" t="s">
        <v>50</v>
      </c>
      <c r="K3" s="3" t="s">
        <v>51</v>
      </c>
      <c r="L3" s="3" t="s">
        <v>52</v>
      </c>
      <c r="M3" s="3" t="s">
        <v>135</v>
      </c>
      <c r="N3" s="5" t="s">
        <v>207</v>
      </c>
    </row>
    <row r="4" spans="1:38">
      <c r="B4" s="7" t="s">
        <v>1</v>
      </c>
      <c r="C4" s="16"/>
      <c r="D4" s="17"/>
      <c r="E4" s="17"/>
      <c r="F4" s="17"/>
      <c r="G4" s="17"/>
      <c r="H4" s="17"/>
      <c r="I4" s="18"/>
      <c r="J4" s="17"/>
      <c r="K4" s="17"/>
      <c r="L4" s="17"/>
      <c r="M4" s="17"/>
      <c r="N4" s="19"/>
    </row>
    <row r="5" spans="1:38" s="301" customFormat="1">
      <c r="A5" s="301" t="s">
        <v>256</v>
      </c>
      <c r="B5" s="318" t="s">
        <v>2</v>
      </c>
      <c r="C5" s="319">
        <v>264</v>
      </c>
      <c r="D5" s="299">
        <v>214</v>
      </c>
      <c r="E5" s="299">
        <v>14790</v>
      </c>
      <c r="F5" s="320">
        <v>14178</v>
      </c>
      <c r="G5" s="320">
        <v>12826</v>
      </c>
      <c r="H5" s="320">
        <v>26803</v>
      </c>
      <c r="I5" s="321">
        <v>26798</v>
      </c>
      <c r="J5" s="299">
        <f>Schedules_Populated!J71</f>
        <v>28150.664266960601</v>
      </c>
      <c r="K5" s="299">
        <f>Schedules_Populated!K71</f>
        <v>30751.190351465717</v>
      </c>
      <c r="L5" s="299">
        <f>Schedules_Populated!L71</f>
        <v>32972.030986967678</v>
      </c>
      <c r="M5" s="299">
        <f>Schedules_Populated!M71</f>
        <v>35918.426295670019</v>
      </c>
      <c r="N5" s="299">
        <f>Schedules_Populated!N71</f>
        <v>39023.190452320225</v>
      </c>
      <c r="O5" s="451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</row>
    <row r="6" spans="1:38">
      <c r="B6" s="8" t="s">
        <v>3</v>
      </c>
      <c r="C6" s="61">
        <v>14</v>
      </c>
      <c r="D6" s="23">
        <v>0</v>
      </c>
      <c r="E6" s="23">
        <v>1344</v>
      </c>
      <c r="F6" s="14">
        <v>1199</v>
      </c>
      <c r="G6" s="14">
        <v>2646</v>
      </c>
      <c r="H6" s="14">
        <v>4054</v>
      </c>
      <c r="I6" s="15">
        <v>7504</v>
      </c>
      <c r="J6" s="23">
        <f>Assumptions!J22</f>
        <v>4736.7</v>
      </c>
      <c r="K6" s="23">
        <f>Assumptions!K22</f>
        <v>4935.78</v>
      </c>
      <c r="L6" s="23">
        <f>Assumptions!L22</f>
        <v>4815.7219999999998</v>
      </c>
      <c r="M6" s="23">
        <f>Assumptions!M22</f>
        <v>5036.4928</v>
      </c>
      <c r="N6" s="165">
        <f>Assumptions!N22</f>
        <v>5176.9617199999993</v>
      </c>
      <c r="O6" s="446"/>
      <c r="P6" s="446"/>
      <c r="Q6" s="446"/>
      <c r="R6" s="446"/>
      <c r="S6" s="446"/>
      <c r="T6" s="446"/>
      <c r="U6" s="446"/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</row>
    <row r="7" spans="1:38">
      <c r="B7" s="8" t="s">
        <v>4</v>
      </c>
      <c r="C7" s="61">
        <v>2961</v>
      </c>
      <c r="D7" s="23">
        <v>1736</v>
      </c>
      <c r="E7" s="23">
        <v>0</v>
      </c>
      <c r="F7" s="14">
        <v>0</v>
      </c>
      <c r="G7" s="14">
        <v>0</v>
      </c>
      <c r="H7" s="14">
        <v>0</v>
      </c>
      <c r="I7" s="15">
        <v>0</v>
      </c>
      <c r="J7" s="23">
        <f>Assumptions!J23</f>
        <v>0</v>
      </c>
      <c r="K7" s="23">
        <f>Assumptions!K23</f>
        <v>0</v>
      </c>
      <c r="L7" s="23">
        <f>Assumptions!L23</f>
        <v>0</v>
      </c>
      <c r="M7" s="23">
        <f>Assumptions!M23</f>
        <v>0</v>
      </c>
      <c r="N7" s="165">
        <f>Assumptions!N23</f>
        <v>0</v>
      </c>
      <c r="O7" s="446"/>
      <c r="P7" s="446"/>
      <c r="Q7" s="446"/>
      <c r="R7" s="446"/>
      <c r="S7" s="446"/>
      <c r="T7" s="446"/>
      <c r="U7" s="446"/>
      <c r="V7" s="446"/>
      <c r="W7" s="446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</row>
    <row r="8" spans="1:38" s="301" customFormat="1">
      <c r="A8" s="301" t="s">
        <v>256</v>
      </c>
      <c r="B8" s="318" t="s">
        <v>5</v>
      </c>
      <c r="C8" s="319">
        <v>793</v>
      </c>
      <c r="D8" s="299">
        <v>196</v>
      </c>
      <c r="E8" s="299">
        <v>336</v>
      </c>
      <c r="F8" s="320">
        <v>224</v>
      </c>
      <c r="G8" s="320">
        <v>350</v>
      </c>
      <c r="H8" s="320">
        <v>548</v>
      </c>
      <c r="I8" s="321">
        <v>454</v>
      </c>
      <c r="J8" s="299">
        <f>Schedules_Populated!J72</f>
        <v>517.9795693708561</v>
      </c>
      <c r="K8" s="299">
        <f>Schedules_Populated!K72</f>
        <v>610.12824466956363</v>
      </c>
      <c r="L8" s="299">
        <f>Schedules_Populated!L72</f>
        <v>699.64408293152655</v>
      </c>
      <c r="M8" s="299">
        <f>Schedules_Populated!M72</f>
        <v>817.77077778708417</v>
      </c>
      <c r="N8" s="300">
        <f>Schedules_Populated!N72</f>
        <v>950.083000439643</v>
      </c>
      <c r="O8" s="451"/>
      <c r="P8" s="446"/>
      <c r="Q8" s="446"/>
      <c r="R8" s="446"/>
      <c r="S8" s="446"/>
      <c r="T8" s="446"/>
      <c r="U8" s="446"/>
      <c r="V8" s="446"/>
      <c r="W8" s="446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</row>
    <row r="9" spans="1:38">
      <c r="B9" s="8" t="s">
        <v>6</v>
      </c>
      <c r="C9" s="61">
        <v>0</v>
      </c>
      <c r="D9" s="23">
        <v>17</v>
      </c>
      <c r="E9" s="23">
        <v>71</v>
      </c>
      <c r="F9" s="14">
        <v>298</v>
      </c>
      <c r="G9" s="14">
        <v>290</v>
      </c>
      <c r="H9" s="14">
        <v>89</v>
      </c>
      <c r="I9" s="15">
        <v>230</v>
      </c>
      <c r="J9" s="23">
        <f>Assumptions!J24</f>
        <v>184.6</v>
      </c>
      <c r="K9" s="23">
        <f>Assumptions!K24</f>
        <v>210.54000000000002</v>
      </c>
      <c r="L9" s="23">
        <f>Assumptions!L24</f>
        <v>200.49600000000001</v>
      </c>
      <c r="M9" s="23">
        <f>Assumptions!M24</f>
        <v>193.72040000000004</v>
      </c>
      <c r="N9" s="165">
        <f>Assumptions!N24</f>
        <v>200.15096000000003</v>
      </c>
      <c r="O9" s="446"/>
      <c r="P9" s="446"/>
      <c r="Q9" s="446"/>
      <c r="R9" s="446"/>
      <c r="S9" s="446"/>
      <c r="T9" s="446"/>
      <c r="U9" s="446"/>
      <c r="V9" s="446"/>
      <c r="W9" s="446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</row>
    <row r="10" spans="1:38" s="301" customFormat="1">
      <c r="A10" s="301" t="s">
        <v>256</v>
      </c>
      <c r="B10" s="318" t="s">
        <v>7</v>
      </c>
      <c r="C10" s="319">
        <v>5484</v>
      </c>
      <c r="D10" s="299">
        <v>3965</v>
      </c>
      <c r="E10" s="299">
        <v>618</v>
      </c>
      <c r="F10" s="320">
        <v>586</v>
      </c>
      <c r="G10" s="320">
        <v>571</v>
      </c>
      <c r="H10" s="320">
        <v>591</v>
      </c>
      <c r="I10" s="321">
        <v>613</v>
      </c>
      <c r="J10" s="299">
        <f>Schedules_Populated!J73</f>
        <v>626.96075431832776</v>
      </c>
      <c r="K10" s="299">
        <f>Schedules_Populated!K73</f>
        <v>637.34569883282404</v>
      </c>
      <c r="L10" s="299">
        <f>Schedules_Populated!L73</f>
        <v>645.69404353640448</v>
      </c>
      <c r="M10" s="299">
        <f>Schedules_Populated!M73</f>
        <v>655.31396114715483</v>
      </c>
      <c r="N10" s="300">
        <f>Schedules_Populated!N73</f>
        <v>664.29856357288315</v>
      </c>
      <c r="O10" s="451"/>
      <c r="P10" s="446"/>
      <c r="Q10" s="451"/>
      <c r="R10" s="446"/>
      <c r="S10" s="446"/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</row>
    <row r="11" spans="1:38">
      <c r="B11" s="8" t="s">
        <v>8</v>
      </c>
      <c r="C11" s="61"/>
      <c r="D11" s="23"/>
      <c r="E11" s="23"/>
      <c r="F11" s="14"/>
      <c r="G11" s="14"/>
      <c r="H11" s="14"/>
      <c r="I11" s="15"/>
      <c r="J11" s="23"/>
      <c r="K11" s="23"/>
      <c r="L11" s="23"/>
      <c r="M11" s="23"/>
      <c r="N11" s="165"/>
    </row>
    <row r="12" spans="1:38">
      <c r="B12" s="8" t="s">
        <v>295</v>
      </c>
      <c r="C12" s="61"/>
      <c r="D12" s="23"/>
      <c r="E12" s="23">
        <v>36269</v>
      </c>
      <c r="F12" s="14">
        <v>34529</v>
      </c>
      <c r="G12" s="14">
        <v>37935</v>
      </c>
      <c r="H12" s="14">
        <v>49184</v>
      </c>
      <c r="I12" s="15">
        <v>53384</v>
      </c>
      <c r="J12" s="23"/>
      <c r="K12" s="23"/>
      <c r="L12" s="23"/>
      <c r="M12" s="23"/>
      <c r="N12" s="165"/>
    </row>
    <row r="13" spans="1:38">
      <c r="B13" s="280" t="s">
        <v>296</v>
      </c>
      <c r="C13" s="61">
        <v>585</v>
      </c>
      <c r="D13" s="23">
        <v>618</v>
      </c>
      <c r="E13" s="23">
        <v>0.2</v>
      </c>
      <c r="F13" s="14">
        <v>0.2</v>
      </c>
      <c r="G13" s="14">
        <v>0.2</v>
      </c>
      <c r="H13" s="14">
        <v>0.2</v>
      </c>
      <c r="I13" s="15">
        <v>0.1</v>
      </c>
      <c r="J13" s="23">
        <f>Assumptions!J27</f>
        <v>0.16000000000000003</v>
      </c>
      <c r="K13" s="23">
        <f>Assumptions!K27</f>
        <v>0.15400000000000003</v>
      </c>
      <c r="L13" s="23">
        <f>Assumptions!L27</f>
        <v>0.15960000000000008</v>
      </c>
      <c r="M13" s="23">
        <f>Assumptions!M27</f>
        <v>0.15604000000000007</v>
      </c>
      <c r="N13" s="165">
        <f>Assumptions!N27</f>
        <v>0.15169600000000008</v>
      </c>
    </row>
    <row r="14" spans="1:38">
      <c r="B14" s="280" t="s">
        <v>297</v>
      </c>
      <c r="C14" s="61">
        <v>185</v>
      </c>
      <c r="D14" s="23">
        <v>239</v>
      </c>
      <c r="E14" s="23">
        <v>36.5</v>
      </c>
      <c r="F14" s="14">
        <v>37</v>
      </c>
      <c r="G14" s="14">
        <v>37.5</v>
      </c>
      <c r="H14" s="14">
        <v>240</v>
      </c>
      <c r="I14" s="15">
        <v>298</v>
      </c>
      <c r="J14" s="23">
        <f>Assumptions!J28</f>
        <v>202.29999999999998</v>
      </c>
      <c r="K14" s="23">
        <f>Assumptions!K28</f>
        <v>201.76999999999998</v>
      </c>
      <c r="L14" s="23">
        <f>Assumptions!L28</f>
        <v>198.94800000000001</v>
      </c>
      <c r="M14" s="23">
        <f>Assumptions!M28</f>
        <v>214.14020000000002</v>
      </c>
      <c r="N14" s="165">
        <f>Assumptions!N28</f>
        <v>215.54748000000001</v>
      </c>
    </row>
    <row r="15" spans="1:38">
      <c r="B15" s="8" t="s">
        <v>11</v>
      </c>
      <c r="C15" s="61">
        <v>584</v>
      </c>
      <c r="D15" s="23">
        <v>920</v>
      </c>
      <c r="E15" s="23">
        <v>0</v>
      </c>
      <c r="F15" s="14">
        <v>541</v>
      </c>
      <c r="G15" s="14">
        <v>545</v>
      </c>
      <c r="H15" s="14">
        <v>605</v>
      </c>
      <c r="I15" s="15">
        <v>584</v>
      </c>
      <c r="J15" s="23">
        <f>Assumptions!J29</f>
        <v>523.70000000000005</v>
      </c>
      <c r="K15" s="23">
        <f>Assumptions!K29</f>
        <v>553.78</v>
      </c>
      <c r="L15" s="23">
        <f>Assumptions!L29</f>
        <v>552.02200000000005</v>
      </c>
      <c r="M15" s="23">
        <f>Assumptions!M29</f>
        <v>558.21280000000002</v>
      </c>
      <c r="N15" s="165">
        <f>Assumptions!N29</f>
        <v>555.03971999999999</v>
      </c>
    </row>
    <row r="16" spans="1:38">
      <c r="B16" s="8" t="s">
        <v>12</v>
      </c>
      <c r="C16" s="61">
        <v>40</v>
      </c>
      <c r="D16" s="23">
        <v>48</v>
      </c>
      <c r="E16" s="23">
        <v>1722</v>
      </c>
      <c r="F16" s="14">
        <v>1687</v>
      </c>
      <c r="G16" s="14">
        <v>2520</v>
      </c>
      <c r="H16" s="14">
        <v>2323</v>
      </c>
      <c r="I16" s="15">
        <v>2805</v>
      </c>
      <c r="J16" s="23">
        <f>Assumptions!J30</f>
        <v>2411.7999999999997</v>
      </c>
      <c r="K16" s="23">
        <f>Assumptions!K30</f>
        <v>2459.2199999999993</v>
      </c>
      <c r="L16" s="23">
        <f>Assumptions!L30</f>
        <v>2472.0279999999998</v>
      </c>
      <c r="M16" s="23">
        <f>Assumptions!M30</f>
        <v>2480.5572000000002</v>
      </c>
      <c r="N16" s="165">
        <f>Assumptions!N30</f>
        <v>2501.4332800000002</v>
      </c>
    </row>
    <row r="17" spans="1:40" ht="15" thickBot="1">
      <c r="B17" s="8" t="s">
        <v>13</v>
      </c>
      <c r="C17" s="281">
        <v>0</v>
      </c>
      <c r="D17" s="282">
        <v>0</v>
      </c>
      <c r="E17" s="282">
        <v>0</v>
      </c>
      <c r="F17" s="21">
        <v>0</v>
      </c>
      <c r="G17" s="21">
        <v>141</v>
      </c>
      <c r="H17" s="21">
        <v>279</v>
      </c>
      <c r="I17" s="22">
        <v>47</v>
      </c>
      <c r="J17" s="282">
        <f>Assumptions!J31</f>
        <v>116.6</v>
      </c>
      <c r="K17" s="282">
        <f>Assumptions!K31</f>
        <v>102.74000000000001</v>
      </c>
      <c r="L17" s="282">
        <f>Assumptions!L31</f>
        <v>122.77600000000001</v>
      </c>
      <c r="M17" s="282">
        <f>Assumptions!M31</f>
        <v>124.19240000000001</v>
      </c>
      <c r="N17" s="283">
        <f>Assumptions!N31</f>
        <v>113.14376</v>
      </c>
    </row>
    <row r="18" spans="1:40" ht="15.5" thickTop="1" thickBot="1">
      <c r="B18" s="65" t="s">
        <v>14</v>
      </c>
      <c r="C18" s="66">
        <f t="shared" ref="C18:N18" si="0">SUM(C5:C17)</f>
        <v>10910</v>
      </c>
      <c r="D18" s="66">
        <f t="shared" si="0"/>
        <v>7953</v>
      </c>
      <c r="E18" s="66">
        <f t="shared" si="0"/>
        <v>55186.7</v>
      </c>
      <c r="F18" s="66">
        <f t="shared" si="0"/>
        <v>53279.199999999997</v>
      </c>
      <c r="G18" s="66">
        <f t="shared" si="0"/>
        <v>57861.7</v>
      </c>
      <c r="H18" s="66">
        <f t="shared" si="0"/>
        <v>84716.2</v>
      </c>
      <c r="I18" s="67">
        <f t="shared" si="0"/>
        <v>92717.1</v>
      </c>
      <c r="J18" s="68">
        <f t="shared" si="0"/>
        <v>37471.46459064979</v>
      </c>
      <c r="K18" s="68">
        <f t="shared" si="0"/>
        <v>40462.648294968101</v>
      </c>
      <c r="L18" s="68">
        <f t="shared" si="0"/>
        <v>42679.520713435595</v>
      </c>
      <c r="M18" s="68">
        <f t="shared" si="0"/>
        <v>45998.982874604262</v>
      </c>
      <c r="N18" s="69">
        <f t="shared" si="0"/>
        <v>49400.000632332747</v>
      </c>
    </row>
    <row r="19" spans="1:40">
      <c r="B19" s="60" t="s">
        <v>15</v>
      </c>
      <c r="C19" s="16"/>
      <c r="D19" s="17"/>
      <c r="E19" s="17"/>
      <c r="F19" s="17"/>
      <c r="G19" s="17"/>
      <c r="H19" s="17"/>
      <c r="I19" s="18"/>
      <c r="J19" s="42"/>
      <c r="K19" s="42"/>
      <c r="L19" s="42"/>
      <c r="M19" s="42"/>
      <c r="N19" s="43"/>
    </row>
    <row r="20" spans="1:40">
      <c r="B20" s="389" t="s">
        <v>298</v>
      </c>
      <c r="C20" s="13"/>
      <c r="D20" s="14"/>
      <c r="E20" s="14">
        <v>3214</v>
      </c>
      <c r="F20" s="14">
        <v>3049</v>
      </c>
      <c r="G20" s="14">
        <v>3532</v>
      </c>
      <c r="H20" s="14">
        <v>5443</v>
      </c>
      <c r="I20" s="15">
        <v>5318</v>
      </c>
      <c r="J20" s="42"/>
      <c r="K20" s="42"/>
      <c r="L20" s="42"/>
      <c r="M20" s="42"/>
      <c r="N20" s="43"/>
    </row>
    <row r="21" spans="1:40" s="301" customFormat="1">
      <c r="A21" s="446"/>
      <c r="B21" s="318" t="s">
        <v>16</v>
      </c>
      <c r="C21" s="335"/>
      <c r="D21" s="320"/>
      <c r="E21" s="320"/>
      <c r="F21" s="320"/>
      <c r="G21" s="320"/>
      <c r="H21" s="320"/>
      <c r="I21" s="321"/>
      <c r="J21" s="299"/>
      <c r="K21" s="299"/>
      <c r="L21" s="299"/>
      <c r="M21" s="299"/>
      <c r="N21" s="300"/>
      <c r="O21" s="446"/>
      <c r="P21" s="446"/>
      <c r="Q21" s="446"/>
      <c r="R21" s="446"/>
      <c r="S21" s="446"/>
      <c r="T21" s="446"/>
      <c r="U21" s="446"/>
      <c r="V21" s="446"/>
      <c r="W21" s="446"/>
      <c r="X21" s="446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</row>
    <row r="22" spans="1:40" s="301" customFormat="1">
      <c r="A22" s="446"/>
      <c r="B22" s="331" t="s">
        <v>17</v>
      </c>
      <c r="C22" s="319">
        <v>13862</v>
      </c>
      <c r="D22" s="299">
        <v>9815</v>
      </c>
      <c r="E22" s="299">
        <v>1219</v>
      </c>
      <c r="F22" s="299">
        <v>8416</v>
      </c>
      <c r="G22" s="299">
        <v>4100</v>
      </c>
      <c r="H22" s="299">
        <v>0</v>
      </c>
      <c r="I22" s="321">
        <v>3912</v>
      </c>
      <c r="J22" s="299">
        <f>Schedules_Populated!J5</f>
        <v>4019.6355583598402</v>
      </c>
      <c r="K22" s="299">
        <f>Schedules_Populated!K5</f>
        <v>3878.021843102556</v>
      </c>
      <c r="L22" s="299">
        <f>Schedules_Populated!L5</f>
        <v>3552.1878829586362</v>
      </c>
      <c r="M22" s="299">
        <f>Schedules_Populated!M5</f>
        <v>3813.3642302269395</v>
      </c>
      <c r="N22" s="300">
        <f>Schedules_Populated!N5</f>
        <v>3842.7030883540551</v>
      </c>
      <c r="O22" s="446"/>
      <c r="P22" s="446"/>
      <c r="Q22" s="446"/>
      <c r="R22" s="446"/>
      <c r="S22" s="446"/>
      <c r="T22" s="446"/>
      <c r="U22" s="446"/>
      <c r="V22" s="446"/>
      <c r="W22" s="446"/>
      <c r="X22" s="446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</row>
    <row r="23" spans="1:40" s="301" customFormat="1">
      <c r="A23" s="446"/>
      <c r="B23" s="331" t="s">
        <v>18</v>
      </c>
      <c r="C23" s="319">
        <v>9437</v>
      </c>
      <c r="D23" s="299">
        <v>12927</v>
      </c>
      <c r="E23" s="299">
        <v>1978</v>
      </c>
      <c r="F23" s="299">
        <v>1280</v>
      </c>
      <c r="G23" s="299">
        <v>2034</v>
      </c>
      <c r="H23" s="299">
        <v>3285</v>
      </c>
      <c r="I23" s="321">
        <v>4597</v>
      </c>
      <c r="J23" s="299">
        <f>Schedules_Populated!J6</f>
        <v>4076.26188452624</v>
      </c>
      <c r="K23" s="299">
        <f>Schedules_Populated!K6</f>
        <v>4037.7645963120649</v>
      </c>
      <c r="L23" s="299">
        <f>Schedules_Populated!L6</f>
        <v>4038.4392567890613</v>
      </c>
      <c r="M23" s="299">
        <f>Schedules_Populated!M6</f>
        <v>4149.8720337908317</v>
      </c>
      <c r="N23" s="300">
        <f>Schedules_Populated!N6</f>
        <v>4271.9012517606761</v>
      </c>
      <c r="O23" s="446"/>
      <c r="P23" s="446"/>
      <c r="Q23" s="446"/>
      <c r="R23" s="446"/>
      <c r="S23" s="446"/>
      <c r="T23" s="446"/>
      <c r="U23" s="446"/>
      <c r="V23" s="446"/>
      <c r="W23" s="446"/>
      <c r="X23" s="446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</row>
    <row r="24" spans="1:40">
      <c r="A24" s="446"/>
      <c r="B24" s="280" t="s">
        <v>19</v>
      </c>
      <c r="C24" s="61">
        <v>1652</v>
      </c>
      <c r="D24" s="23">
        <v>2627</v>
      </c>
      <c r="E24" s="23">
        <v>21</v>
      </c>
      <c r="F24" s="23">
        <v>41</v>
      </c>
      <c r="G24" s="23">
        <v>35</v>
      </c>
      <c r="H24" s="23">
        <v>1785</v>
      </c>
      <c r="I24" s="15">
        <v>2660</v>
      </c>
      <c r="J24" s="23">
        <f>CFS!B20</f>
        <v>24815.648893621274</v>
      </c>
      <c r="K24" s="23">
        <f>CFS!C20</f>
        <v>50730.111738367254</v>
      </c>
      <c r="L24" s="23">
        <f>CFS!D20</f>
        <v>87073.599190483743</v>
      </c>
      <c r="M24" s="23">
        <f>CFS!E20</f>
        <v>133840.82685151088</v>
      </c>
      <c r="N24" s="165">
        <f>CFS!F20</f>
        <v>193982.30875268084</v>
      </c>
      <c r="O24" s="446"/>
      <c r="P24" s="446"/>
      <c r="Q24" s="451"/>
      <c r="R24" s="446"/>
      <c r="S24" s="446"/>
      <c r="T24" s="446"/>
      <c r="U24" s="446"/>
      <c r="V24" s="446"/>
      <c r="W24" s="446"/>
      <c r="X24" s="446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</row>
    <row r="25" spans="1:40" s="301" customFormat="1">
      <c r="A25" s="446"/>
      <c r="B25" s="331" t="s">
        <v>299</v>
      </c>
      <c r="C25" s="319">
        <v>273</v>
      </c>
      <c r="D25" s="299">
        <v>77</v>
      </c>
      <c r="E25" s="299">
        <v>17</v>
      </c>
      <c r="F25" s="299">
        <v>23</v>
      </c>
      <c r="G25" s="299">
        <v>30.5</v>
      </c>
      <c r="H25" s="299">
        <v>30</v>
      </c>
      <c r="I25" s="321">
        <v>33</v>
      </c>
      <c r="J25" s="299">
        <f>Schedules_Populated!J7</f>
        <v>37.639331627511723</v>
      </c>
      <c r="K25" s="299">
        <f>Schedules_Populated!K7</f>
        <v>38.574387703716646</v>
      </c>
      <c r="L25" s="299">
        <f>Schedules_Populated!L7</f>
        <v>38.722962159332575</v>
      </c>
      <c r="M25" s="299">
        <f>Schedules_Populated!M7</f>
        <v>38.272128072007717</v>
      </c>
      <c r="N25" s="300">
        <f>Schedules_Populated!N7</f>
        <v>39.006149804119275</v>
      </c>
      <c r="O25" s="446"/>
      <c r="P25" s="446"/>
      <c r="Q25" s="451"/>
      <c r="R25" s="446"/>
      <c r="S25" s="446"/>
      <c r="T25" s="446"/>
      <c r="U25" s="446"/>
      <c r="V25" s="446"/>
      <c r="W25" s="446"/>
      <c r="X25" s="446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</row>
    <row r="26" spans="1:40" s="301" customFormat="1">
      <c r="A26" s="446"/>
      <c r="B26" s="331" t="s">
        <v>300</v>
      </c>
      <c r="C26" s="319">
        <v>1141</v>
      </c>
      <c r="D26" s="299">
        <v>7091</v>
      </c>
      <c r="E26" s="299">
        <v>660</v>
      </c>
      <c r="F26" s="299">
        <v>1324</v>
      </c>
      <c r="G26" s="299">
        <v>2593</v>
      </c>
      <c r="H26" s="299">
        <v>2602</v>
      </c>
      <c r="I26" s="321">
        <v>3419</v>
      </c>
      <c r="J26" s="299">
        <f>Schedules_Populated!J8</f>
        <v>3412.7870860490266</v>
      </c>
      <c r="K26" s="299">
        <f>Schedules_Populated!K8</f>
        <v>3496.1631244585537</v>
      </c>
      <c r="L26" s="299">
        <f>Schedules_Populated!L8</f>
        <v>3435.0408051770455</v>
      </c>
      <c r="M26" s="299">
        <f>Schedules_Populated!M8</f>
        <v>3493.6731609301469</v>
      </c>
      <c r="N26" s="300">
        <f>Schedules_Populated!N8</f>
        <v>3563.6517239569962</v>
      </c>
      <c r="O26" s="446"/>
      <c r="P26" s="446"/>
      <c r="Q26" s="451"/>
      <c r="R26" s="446"/>
      <c r="S26" s="446"/>
      <c r="T26" s="446"/>
      <c r="U26" s="446"/>
      <c r="V26" s="446"/>
      <c r="W26" s="446"/>
      <c r="X26" s="446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</row>
    <row r="27" spans="1:40" s="301" customFormat="1">
      <c r="A27" s="446"/>
      <c r="B27" s="331" t="s">
        <v>301</v>
      </c>
      <c r="C27" s="319"/>
      <c r="D27" s="299"/>
      <c r="E27" s="299">
        <v>8</v>
      </c>
      <c r="F27" s="299">
        <v>3006</v>
      </c>
      <c r="G27" s="299">
        <v>3007</v>
      </c>
      <c r="H27" s="299">
        <v>963</v>
      </c>
      <c r="I27" s="321">
        <v>168</v>
      </c>
      <c r="J27" s="299">
        <v>57687</v>
      </c>
      <c r="K27" s="299">
        <v>57687</v>
      </c>
      <c r="L27" s="299">
        <v>57687</v>
      </c>
      <c r="M27" s="299">
        <v>57687</v>
      </c>
      <c r="N27" s="299">
        <v>57687</v>
      </c>
      <c r="O27" s="446"/>
      <c r="P27" s="446"/>
      <c r="Q27" s="451"/>
      <c r="R27" s="446"/>
      <c r="S27" s="446"/>
      <c r="T27" s="446"/>
      <c r="U27" s="446"/>
      <c r="V27" s="446"/>
      <c r="W27" s="446"/>
      <c r="X27" s="446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</row>
    <row r="28" spans="1:40" s="301" customFormat="1" ht="15" thickBot="1">
      <c r="A28" s="446"/>
      <c r="B28" s="336" t="s">
        <v>20</v>
      </c>
      <c r="C28" s="342">
        <v>1424</v>
      </c>
      <c r="D28" s="340">
        <v>862</v>
      </c>
      <c r="E28" s="340">
        <v>1325</v>
      </c>
      <c r="F28" s="340">
        <v>958</v>
      </c>
      <c r="G28" s="340">
        <v>1461</v>
      </c>
      <c r="H28" s="340">
        <v>1560</v>
      </c>
      <c r="I28" s="339">
        <v>2508</v>
      </c>
      <c r="J28" s="340">
        <f>Schedules_Populated!J9</f>
        <v>2297.1213100359982</v>
      </c>
      <c r="K28" s="340">
        <f>Schedules_Populated!K9</f>
        <v>2314.9106816110461</v>
      </c>
      <c r="L28" s="340">
        <f>Schedules_Populated!L9</f>
        <v>2299.1559073027611</v>
      </c>
      <c r="M28" s="340">
        <f>Schedules_Populated!M9</f>
        <v>2315.4248007687711</v>
      </c>
      <c r="N28" s="341">
        <f>Schedules_Populated!N9</f>
        <v>2400.4880611781314</v>
      </c>
      <c r="O28" s="446"/>
      <c r="P28" s="446"/>
      <c r="Q28" s="446"/>
      <c r="R28" s="446"/>
      <c r="S28" s="446"/>
      <c r="T28" s="446"/>
      <c r="U28" s="446"/>
      <c r="V28" s="446"/>
      <c r="W28" s="446"/>
      <c r="X28" s="446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</row>
    <row r="29" spans="1:40" s="301" customFormat="1" ht="15.5" thickTop="1" thickBot="1">
      <c r="A29" s="446"/>
      <c r="B29" s="318" t="s">
        <v>302</v>
      </c>
      <c r="C29" s="299"/>
      <c r="D29" s="299"/>
      <c r="E29" s="299"/>
      <c r="F29" s="299"/>
      <c r="G29" s="299"/>
      <c r="H29" s="299">
        <v>0</v>
      </c>
      <c r="I29" s="321">
        <v>20</v>
      </c>
      <c r="J29" s="299"/>
      <c r="K29" s="299"/>
      <c r="L29" s="299"/>
      <c r="M29" s="299"/>
      <c r="N29" s="300"/>
      <c r="O29" s="446"/>
      <c r="P29" s="446"/>
      <c r="Q29" s="446"/>
      <c r="R29" s="446"/>
      <c r="S29" s="446"/>
      <c r="T29" s="446"/>
      <c r="U29" s="446"/>
      <c r="V29" s="446"/>
      <c r="W29" s="446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</row>
    <row r="30" spans="1:40" ht="15" thickBot="1">
      <c r="A30" s="446"/>
      <c r="B30" s="65" t="s">
        <v>21</v>
      </c>
      <c r="C30" s="66">
        <f>SUM(C22:C28)</f>
        <v>27789</v>
      </c>
      <c r="D30" s="66">
        <f>SUM(D22:D28)</f>
        <v>33399</v>
      </c>
      <c r="E30" s="66">
        <f>SUM(E20:E28)</f>
        <v>8442</v>
      </c>
      <c r="F30" s="66">
        <f>SUM(F20:F28)</f>
        <v>18097</v>
      </c>
      <c r="G30" s="66">
        <f>SUM(G20:G28)</f>
        <v>16792.5</v>
      </c>
      <c r="H30" s="66">
        <f>SUM(H20:H29)</f>
        <v>15668</v>
      </c>
      <c r="I30" s="67">
        <f>SUM(I20:I29)</f>
        <v>22635</v>
      </c>
      <c r="J30" s="68">
        <f>SUM(J22:J28)</f>
        <v>96346.094064219898</v>
      </c>
      <c r="K30" s="68">
        <f>SUM(K22:K28)</f>
        <v>122182.54637155519</v>
      </c>
      <c r="L30" s="68">
        <f>SUM(L22:L28)</f>
        <v>158124.14600487059</v>
      </c>
      <c r="M30" s="68">
        <f>SUM(M22:M28)</f>
        <v>205338.43320529955</v>
      </c>
      <c r="N30" s="69">
        <f>SUM(N22:N28)</f>
        <v>265787.05902773479</v>
      </c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</row>
    <row r="31" spans="1:40" ht="15" thickBot="1">
      <c r="A31" s="446"/>
      <c r="B31" s="65" t="s">
        <v>22</v>
      </c>
      <c r="C31" s="66">
        <f t="shared" ref="C31:N31" si="1">C18+C30</f>
        <v>38699</v>
      </c>
      <c r="D31" s="66">
        <f t="shared" si="1"/>
        <v>41352</v>
      </c>
      <c r="E31" s="66">
        <f t="shared" si="1"/>
        <v>63628.7</v>
      </c>
      <c r="F31" s="66">
        <f t="shared" si="1"/>
        <v>71376.2</v>
      </c>
      <c r="G31" s="66">
        <f t="shared" si="1"/>
        <v>74654.2</v>
      </c>
      <c r="H31" s="66">
        <f t="shared" si="1"/>
        <v>100384.2</v>
      </c>
      <c r="I31" s="66">
        <f t="shared" si="1"/>
        <v>115352.1</v>
      </c>
      <c r="J31" s="294">
        <f t="shared" si="1"/>
        <v>133817.55865486967</v>
      </c>
      <c r="K31" s="295">
        <f t="shared" si="1"/>
        <v>162645.19466652328</v>
      </c>
      <c r="L31" s="295">
        <f t="shared" si="1"/>
        <v>200803.66671830619</v>
      </c>
      <c r="M31" s="295">
        <f t="shared" si="1"/>
        <v>251337.41607990381</v>
      </c>
      <c r="N31" s="296">
        <f t="shared" si="1"/>
        <v>315187.05966006755</v>
      </c>
    </row>
    <row r="32" spans="1:40">
      <c r="A32" s="446"/>
      <c r="B32" s="9" t="s">
        <v>23</v>
      </c>
      <c r="C32" s="16"/>
      <c r="D32" s="17"/>
      <c r="E32" s="17"/>
      <c r="F32" s="17"/>
      <c r="G32" s="17"/>
      <c r="H32" s="17"/>
      <c r="I32" s="18"/>
      <c r="J32" s="18"/>
      <c r="K32" s="42"/>
      <c r="L32" s="42"/>
      <c r="M32" s="42"/>
      <c r="N32" s="43"/>
      <c r="O32" s="14"/>
    </row>
    <row r="33" spans="1:47">
      <c r="A33" s="446"/>
      <c r="B33" s="10" t="s">
        <v>24</v>
      </c>
      <c r="C33" s="13"/>
      <c r="D33" s="14"/>
      <c r="E33" s="14"/>
      <c r="F33" s="14"/>
      <c r="G33" s="14"/>
      <c r="H33" s="14"/>
      <c r="I33" s="15"/>
      <c r="J33" s="42"/>
      <c r="K33" s="42"/>
      <c r="L33" s="42"/>
      <c r="M33" s="42"/>
      <c r="N33" s="43"/>
    </row>
    <row r="34" spans="1:47" s="301" customFormat="1">
      <c r="A34" s="446"/>
      <c r="B34" s="318" t="s">
        <v>25</v>
      </c>
      <c r="C34" s="319">
        <v>375</v>
      </c>
      <c r="D34" s="299">
        <v>597</v>
      </c>
      <c r="E34" s="299">
        <v>151</v>
      </c>
      <c r="F34" s="299">
        <v>151</v>
      </c>
      <c r="G34" s="299">
        <v>151</v>
      </c>
      <c r="H34" s="299">
        <v>157</v>
      </c>
      <c r="I34" s="321">
        <v>157</v>
      </c>
      <c r="J34" s="299">
        <f>Assumptions!L34</f>
        <v>157</v>
      </c>
      <c r="K34" s="299">
        <f>Assumptions!K34</f>
        <v>157</v>
      </c>
      <c r="L34" s="299">
        <f>Assumptions!L34</f>
        <v>157</v>
      </c>
      <c r="M34" s="299">
        <f>Assumptions!M34</f>
        <v>157</v>
      </c>
      <c r="N34" s="300">
        <f>Assumptions!N34</f>
        <v>157</v>
      </c>
      <c r="O34" s="446"/>
      <c r="P34" s="446"/>
      <c r="Q34" s="446"/>
      <c r="R34" s="446"/>
      <c r="S34" s="446"/>
      <c r="T34" s="446"/>
      <c r="U34" s="446"/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</row>
    <row r="35" spans="1:47" s="301" customFormat="1">
      <c r="A35" s="446"/>
      <c r="B35" s="318" t="s">
        <v>306</v>
      </c>
      <c r="C35" s="319">
        <v>2229</v>
      </c>
      <c r="D35" s="299">
        <v>2230</v>
      </c>
      <c r="E35" s="299">
        <v>19</v>
      </c>
      <c r="F35" s="299">
        <v>0</v>
      </c>
      <c r="G35" s="299">
        <v>0</v>
      </c>
      <c r="H35" s="299">
        <v>0</v>
      </c>
      <c r="I35" s="377">
        <v>0</v>
      </c>
      <c r="J35" s="299">
        <f>Assumptions!J35</f>
        <v>0</v>
      </c>
      <c r="K35" s="299">
        <f>Assumptions!K35</f>
        <v>0</v>
      </c>
      <c r="L35" s="299">
        <f>Assumptions!L35</f>
        <v>0</v>
      </c>
      <c r="M35" s="299">
        <f>Assumptions!M35</f>
        <v>0</v>
      </c>
      <c r="N35" s="300">
        <f>Assumptions!N35</f>
        <v>0</v>
      </c>
      <c r="O35" s="446"/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</row>
    <row r="36" spans="1:47" s="301" customFormat="1" ht="15" thickBot="1">
      <c r="A36" s="446"/>
      <c r="B36" s="336" t="s">
        <v>27</v>
      </c>
      <c r="C36" s="342">
        <v>-13492</v>
      </c>
      <c r="D36" s="340">
        <v>-9432</v>
      </c>
      <c r="E36" s="340">
        <v>49262</v>
      </c>
      <c r="F36" s="340">
        <v>52350</v>
      </c>
      <c r="G36" s="340">
        <v>55182</v>
      </c>
      <c r="H36" s="340">
        <v>74443</v>
      </c>
      <c r="I36" s="339">
        <v>85479</v>
      </c>
      <c r="J36" s="340">
        <f>Assumptions!J36</f>
        <v>105098.36181986498</v>
      </c>
      <c r="K36" s="340">
        <f>Assumptions!K36</f>
        <v>133419.27102448387</v>
      </c>
      <c r="L36" s="340">
        <f>Assumptions!L36</f>
        <v>171973.64161959686</v>
      </c>
      <c r="M36" s="340">
        <f>Assumptions!M36</f>
        <v>222138.29608558735</v>
      </c>
      <c r="N36" s="341">
        <f>Assumptions!N36</f>
        <v>285395.03090347542</v>
      </c>
      <c r="O36" s="451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</row>
    <row r="37" spans="1:47" ht="15.5" thickTop="1" thickBot="1">
      <c r="B37" s="65" t="s">
        <v>28</v>
      </c>
      <c r="C37" s="66">
        <f t="shared" ref="C37:J37" si="2">SUM(C34:C36)</f>
        <v>-10888</v>
      </c>
      <c r="D37" s="66">
        <f t="shared" si="2"/>
        <v>-6605</v>
      </c>
      <c r="E37" s="66">
        <f t="shared" si="2"/>
        <v>49432</v>
      </c>
      <c r="F37" s="66">
        <f t="shared" si="2"/>
        <v>52501</v>
      </c>
      <c r="G37" s="66">
        <f t="shared" si="2"/>
        <v>55333</v>
      </c>
      <c r="H37" s="66">
        <f t="shared" si="2"/>
        <v>74600</v>
      </c>
      <c r="I37" s="67">
        <f t="shared" si="2"/>
        <v>85636</v>
      </c>
      <c r="J37" s="68">
        <f t="shared" si="2"/>
        <v>105255.36181986498</v>
      </c>
      <c r="K37" s="68">
        <f t="shared" ref="K37:N37" si="3">SUM(K34:K36)</f>
        <v>133576.27102448387</v>
      </c>
      <c r="L37" s="68">
        <f t="shared" si="3"/>
        <v>172130.64161959686</v>
      </c>
      <c r="M37" s="68">
        <f t="shared" si="3"/>
        <v>222295.29608558735</v>
      </c>
      <c r="N37" s="69">
        <f t="shared" si="3"/>
        <v>285552.03090347542</v>
      </c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</row>
    <row r="38" spans="1:47">
      <c r="B38" s="11" t="s">
        <v>29</v>
      </c>
      <c r="C38" s="14"/>
      <c r="D38" s="14"/>
      <c r="E38" s="14"/>
      <c r="F38" s="14"/>
      <c r="G38" s="14"/>
      <c r="H38" s="14"/>
      <c r="I38" s="15"/>
      <c r="J38" s="42"/>
      <c r="K38" s="42"/>
      <c r="L38" s="42"/>
      <c r="M38" s="42"/>
      <c r="N38" s="43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</row>
    <row r="39" spans="1:47">
      <c r="B39" s="10" t="s">
        <v>30</v>
      </c>
      <c r="C39" s="14"/>
      <c r="D39" s="14"/>
      <c r="E39" s="14"/>
      <c r="F39" s="14"/>
      <c r="G39" s="14"/>
      <c r="H39" s="14"/>
      <c r="I39" s="15"/>
      <c r="J39" s="42"/>
      <c r="K39" s="42"/>
      <c r="L39" s="42"/>
      <c r="M39" s="42"/>
      <c r="N39" s="43"/>
      <c r="O39" s="446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</row>
    <row r="40" spans="1:47">
      <c r="B40" s="8" t="s">
        <v>31</v>
      </c>
      <c r="C40" s="23"/>
      <c r="D40" s="23"/>
      <c r="E40" s="23"/>
      <c r="F40" s="23"/>
      <c r="G40" s="23"/>
      <c r="H40" s="23"/>
      <c r="I40" s="15"/>
      <c r="J40" s="42"/>
      <c r="K40" s="42"/>
      <c r="L40" s="42"/>
      <c r="M40" s="42"/>
      <c r="N40" s="43"/>
      <c r="O40" s="446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</row>
    <row r="41" spans="1:47" s="301" customFormat="1">
      <c r="A41" s="446"/>
      <c r="B41" s="331" t="s">
        <v>32</v>
      </c>
      <c r="C41" s="299">
        <v>1483</v>
      </c>
      <c r="D41" s="299">
        <v>850</v>
      </c>
      <c r="E41" s="299">
        <v>5</v>
      </c>
      <c r="F41" s="299">
        <v>2.8</v>
      </c>
      <c r="G41" s="299">
        <v>0</v>
      </c>
      <c r="H41" s="299">
        <v>0</v>
      </c>
      <c r="I41" s="321">
        <v>0</v>
      </c>
      <c r="J41" s="299">
        <f>Schedules_Populated!J42</f>
        <v>0.12099113618049959</v>
      </c>
      <c r="K41" s="299">
        <f>Schedules_Populated!K42</f>
        <v>4.9258596960340684E-2</v>
      </c>
      <c r="L41" s="299">
        <f>Schedules_Populated!L42</f>
        <v>3.8212058005922056E-3</v>
      </c>
      <c r="M41" s="299">
        <f>Schedules_Populated!M42</f>
        <v>5.1407060395279236E-3</v>
      </c>
      <c r="N41" s="300">
        <f>Schedules_Populated!N42</f>
        <v>4.1393373521712191E-2</v>
      </c>
      <c r="O41" s="451"/>
      <c r="P41" s="451"/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</row>
    <row r="42" spans="1:47" s="301" customFormat="1">
      <c r="A42" s="446"/>
      <c r="B42" s="331" t="s">
        <v>33</v>
      </c>
      <c r="C42" s="299">
        <v>4314</v>
      </c>
      <c r="D42" s="299">
        <v>2964</v>
      </c>
      <c r="E42" s="299">
        <v>60</v>
      </c>
      <c r="F42" s="299">
        <v>39</v>
      </c>
      <c r="G42" s="299">
        <v>33</v>
      </c>
      <c r="H42" s="299">
        <v>25</v>
      </c>
      <c r="I42" s="321">
        <v>67</v>
      </c>
      <c r="J42" s="299">
        <f>Schedules_Populated!J46</f>
        <v>72.857142857142861</v>
      </c>
      <c r="K42" s="299">
        <f>Schedules_Populated!K46</f>
        <v>75.588200238379031</v>
      </c>
      <c r="L42" s="299">
        <f>Schedules_Populated!L46</f>
        <v>78.913396782875111</v>
      </c>
      <c r="M42" s="299">
        <f>Schedules_Populated!M46</f>
        <v>82.8282571017576</v>
      </c>
      <c r="N42" s="300">
        <f>Schedules_Populated!N46</f>
        <v>87.120690484098915</v>
      </c>
      <c r="O42" s="451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</row>
    <row r="43" spans="1:47">
      <c r="A43" s="446"/>
      <c r="B43" s="280" t="s">
        <v>303</v>
      </c>
      <c r="C43" s="14"/>
      <c r="D43" s="14"/>
      <c r="E43" s="14">
        <v>2116</v>
      </c>
      <c r="F43" s="14">
        <v>2129</v>
      </c>
      <c r="G43" s="14">
        <v>2181</v>
      </c>
      <c r="H43" s="14">
        <v>2585</v>
      </c>
      <c r="I43" s="15">
        <v>3162</v>
      </c>
      <c r="J43" s="23">
        <f>Assumptions!J38</f>
        <v>2682.9</v>
      </c>
      <c r="K43" s="23">
        <f>Assumptions!K38</f>
        <v>2711.26</v>
      </c>
      <c r="L43" s="23">
        <f>Assumptions!L38</f>
        <v>2682.1740000000004</v>
      </c>
      <c r="M43" s="23">
        <f>Assumptions!M38</f>
        <v>2729.2376000000004</v>
      </c>
      <c r="N43" s="165">
        <f>Assumptions!N38</f>
        <v>2751.963240000001</v>
      </c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</row>
    <row r="44" spans="1:47">
      <c r="B44" s="8" t="s">
        <v>34</v>
      </c>
      <c r="C44" s="14">
        <v>812</v>
      </c>
      <c r="D44" s="14">
        <v>940</v>
      </c>
      <c r="E44" s="14">
        <v>52</v>
      </c>
      <c r="F44" s="14">
        <v>45</v>
      </c>
      <c r="G44" s="14">
        <v>84</v>
      </c>
      <c r="H44" s="14">
        <v>87</v>
      </c>
      <c r="I44" s="15">
        <v>145</v>
      </c>
      <c r="J44" s="23">
        <f>Assumptions!J39</f>
        <v>102.2</v>
      </c>
      <c r="K44" s="23">
        <f>Assumptions!K39</f>
        <v>105.98</v>
      </c>
      <c r="L44" s="23">
        <f>Assumptions!L39</f>
        <v>104.65200000000002</v>
      </c>
      <c r="M44" s="23">
        <f>Assumptions!M39</f>
        <v>107.07480000000001</v>
      </c>
      <c r="N44" s="165">
        <f>Assumptions!N39</f>
        <v>109.54352000000002</v>
      </c>
    </row>
    <row r="45" spans="1:47" ht="15" thickBot="1">
      <c r="B45" s="284" t="s">
        <v>35</v>
      </c>
      <c r="C45" s="282">
        <v>123</v>
      </c>
      <c r="D45" s="282">
        <v>0</v>
      </c>
      <c r="E45" s="282">
        <v>658</v>
      </c>
      <c r="F45" s="282">
        <v>445</v>
      </c>
      <c r="G45" s="282">
        <v>0</v>
      </c>
      <c r="H45" s="282">
        <v>321</v>
      </c>
      <c r="I45" s="22">
        <v>389</v>
      </c>
      <c r="J45" s="282">
        <f>Assumptions!J40</f>
        <v>362.20000000000005</v>
      </c>
      <c r="K45" s="282">
        <f>Assumptions!K40</f>
        <v>338.18000000000006</v>
      </c>
      <c r="L45" s="282">
        <f>Assumptions!L40</f>
        <v>314.93200000000002</v>
      </c>
      <c r="M45" s="282">
        <f>Assumptions!M40</f>
        <v>334.6468000000001</v>
      </c>
      <c r="N45" s="283">
        <f>Assumptions!N40</f>
        <v>337.27632000000006</v>
      </c>
    </row>
    <row r="46" spans="1:47" ht="15.5" thickTop="1" thickBot="1">
      <c r="B46" s="227" t="s">
        <v>36</v>
      </c>
      <c r="C46" s="66">
        <f t="shared" ref="C46:I46" si="4">SUM(C41:C45)</f>
        <v>6732</v>
      </c>
      <c r="D46" s="66">
        <f t="shared" si="4"/>
        <v>4754</v>
      </c>
      <c r="E46" s="66">
        <f t="shared" si="4"/>
        <v>2891</v>
      </c>
      <c r="F46" s="66">
        <f t="shared" si="4"/>
        <v>2660.8</v>
      </c>
      <c r="G46" s="66">
        <f t="shared" si="4"/>
        <v>2298</v>
      </c>
      <c r="H46" s="66">
        <f t="shared" si="4"/>
        <v>3018</v>
      </c>
      <c r="I46" s="67">
        <f t="shared" si="4"/>
        <v>3763</v>
      </c>
      <c r="J46" s="68">
        <f>SUM(J41:J45)</f>
        <v>3220.2781339933235</v>
      </c>
      <c r="K46" s="68">
        <f t="shared" ref="K46:N46" si="5">SUM(K41:K45)</f>
        <v>3231.0574588353393</v>
      </c>
      <c r="L46" s="68">
        <f t="shared" si="5"/>
        <v>3180.6752179886762</v>
      </c>
      <c r="M46" s="68">
        <f t="shared" si="5"/>
        <v>3253.7925978077974</v>
      </c>
      <c r="N46" s="69">
        <f t="shared" si="5"/>
        <v>3285.9451638576215</v>
      </c>
    </row>
    <row r="47" spans="1:47">
      <c r="B47" s="9" t="s">
        <v>37</v>
      </c>
      <c r="C47" s="16"/>
      <c r="D47" s="17"/>
      <c r="E47" s="17"/>
      <c r="F47" s="17"/>
      <c r="G47" s="17"/>
      <c r="H47" s="17"/>
      <c r="I47" s="18"/>
      <c r="J47" s="42"/>
      <c r="K47" s="42"/>
      <c r="L47" s="42"/>
      <c r="M47" s="42"/>
      <c r="N47" s="43"/>
    </row>
    <row r="48" spans="1:47" s="301" customFormat="1">
      <c r="A48" s="446"/>
      <c r="B48" s="318" t="s">
        <v>305</v>
      </c>
      <c r="C48" s="335">
        <v>547</v>
      </c>
      <c r="D48" s="320">
        <v>1067</v>
      </c>
      <c r="E48" s="320">
        <v>7500</v>
      </c>
      <c r="F48" s="320">
        <v>10168</v>
      </c>
      <c r="G48" s="320">
        <v>9765</v>
      </c>
      <c r="H48" s="320">
        <v>13675</v>
      </c>
      <c r="I48" s="321">
        <v>16988</v>
      </c>
      <c r="J48" s="299">
        <f>Schedules_Populated!J12</f>
        <v>17160.542893096772</v>
      </c>
      <c r="K48" s="299">
        <f>Schedules_Populated!K12</f>
        <v>17436.854183238054</v>
      </c>
      <c r="L48" s="299">
        <f>Schedules_Populated!L12</f>
        <v>17113.23379564155</v>
      </c>
      <c r="M48" s="299">
        <f>Schedules_Populated!M12</f>
        <v>17385.059082780768</v>
      </c>
      <c r="N48" s="300">
        <f>Schedules_Populated!N12</f>
        <v>17779.399795218331</v>
      </c>
      <c r="O48" s="446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</row>
    <row r="49" spans="1:47" s="301" customFormat="1">
      <c r="A49" s="446"/>
      <c r="B49" s="318" t="s">
        <v>31</v>
      </c>
      <c r="C49" s="319"/>
      <c r="D49" s="299"/>
      <c r="E49" s="299"/>
      <c r="F49" s="299"/>
      <c r="G49" s="299"/>
      <c r="H49" s="299"/>
      <c r="I49" s="321"/>
      <c r="J49" s="299"/>
      <c r="K49" s="299"/>
      <c r="L49" s="299"/>
      <c r="M49" s="299"/>
      <c r="N49" s="300"/>
      <c r="O49" s="446"/>
      <c r="P49" s="446"/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</row>
    <row r="50" spans="1:47" s="301" customFormat="1">
      <c r="A50" s="446"/>
      <c r="B50" s="331" t="s">
        <v>32</v>
      </c>
      <c r="C50" s="319">
        <v>6855</v>
      </c>
      <c r="D50" s="299">
        <v>6012</v>
      </c>
      <c r="E50" s="299">
        <v>106</v>
      </c>
      <c r="F50" s="299">
        <v>489</v>
      </c>
      <c r="G50" s="299">
        <v>382</v>
      </c>
      <c r="H50" s="299">
        <v>1216</v>
      </c>
      <c r="I50" s="321">
        <v>33</v>
      </c>
      <c r="J50" s="299">
        <f>Schedules_Populated!J14</f>
        <v>34.529008863819499</v>
      </c>
      <c r="K50" s="299">
        <f>Schedules_Populated!K14</f>
        <v>36.333241403039651</v>
      </c>
      <c r="L50" s="299">
        <f>Schedules_Populated!L14</f>
        <v>38.197803794199409</v>
      </c>
      <c r="M50" s="299">
        <f>Schedules_Populated!M14</f>
        <v>40.106565543960471</v>
      </c>
      <c r="N50" s="300">
        <f>Schedules_Populated!N14</f>
        <v>42.075898188978279</v>
      </c>
      <c r="O50" s="446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</row>
    <row r="51" spans="1:47" s="301" customFormat="1">
      <c r="A51" s="446"/>
      <c r="B51" s="331" t="s">
        <v>33</v>
      </c>
      <c r="C51" s="319">
        <v>1456</v>
      </c>
      <c r="D51" s="299">
        <v>1582</v>
      </c>
      <c r="E51" s="299">
        <v>10</v>
      </c>
      <c r="F51" s="299">
        <v>7.4</v>
      </c>
      <c r="G51" s="299">
        <v>8</v>
      </c>
      <c r="H51" s="299">
        <v>7</v>
      </c>
      <c r="I51" s="321">
        <v>18</v>
      </c>
      <c r="J51" s="299">
        <f>Schedules_Populated!J15</f>
        <v>16.392857142857142</v>
      </c>
      <c r="K51" s="299">
        <f>Schedules_Populated!K15</f>
        <v>18.124299761620978</v>
      </c>
      <c r="L51" s="299">
        <f>Schedules_Populated!L15</f>
        <v>19.484728217124907</v>
      </c>
      <c r="M51" s="299">
        <f>Schedules_Populated!M15</f>
        <v>20.489774148242418</v>
      </c>
      <c r="N51" s="300">
        <f>Schedules_Populated!N15</f>
        <v>21.363242328401114</v>
      </c>
      <c r="O51" s="446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</row>
    <row r="52" spans="1:47" s="301" customFormat="1">
      <c r="A52" s="446"/>
      <c r="B52" s="331" t="s">
        <v>38</v>
      </c>
      <c r="C52" s="335">
        <v>2498</v>
      </c>
      <c r="D52" s="320">
        <v>2878</v>
      </c>
      <c r="E52" s="320">
        <v>0</v>
      </c>
      <c r="F52" s="320">
        <v>0</v>
      </c>
      <c r="G52" s="320">
        <v>0</v>
      </c>
      <c r="H52" s="320">
        <v>0</v>
      </c>
      <c r="I52" s="321">
        <v>0</v>
      </c>
      <c r="J52" s="299">
        <f>Schedules_Populated!J16</f>
        <v>0</v>
      </c>
      <c r="K52" s="299">
        <f>Schedules_Populated!K16</f>
        <v>0</v>
      </c>
      <c r="L52" s="299">
        <f>Schedules_Populated!L16</f>
        <v>0</v>
      </c>
      <c r="M52" s="299">
        <f>Schedules_Populated!M16</f>
        <v>0</v>
      </c>
      <c r="N52" s="300">
        <f>Schedules_Populated!N16</f>
        <v>0</v>
      </c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</row>
    <row r="53" spans="1:47" s="301" customFormat="1">
      <c r="A53" s="446"/>
      <c r="B53" s="331" t="s">
        <v>39</v>
      </c>
      <c r="C53" s="335">
        <v>30008</v>
      </c>
      <c r="D53" s="320">
        <v>29930</v>
      </c>
      <c r="E53" s="320">
        <v>904</v>
      </c>
      <c r="F53" s="320">
        <v>1272</v>
      </c>
      <c r="G53" s="320">
        <v>2027</v>
      </c>
      <c r="H53" s="320">
        <v>2290</v>
      </c>
      <c r="I53" s="321">
        <v>2224</v>
      </c>
      <c r="J53" s="299">
        <f>Schedules_Populated!J17</f>
        <v>2526.8571363217857</v>
      </c>
      <c r="K53" s="299">
        <f>Schedules_Populated!K17</f>
        <v>2566.6115227264022</v>
      </c>
      <c r="L53" s="299">
        <f>Schedules_Populated!L17</f>
        <v>2621.7014477747098</v>
      </c>
      <c r="M53" s="299">
        <f>Schedules_Populated!M17</f>
        <v>2606.3594654561202</v>
      </c>
      <c r="N53" s="300">
        <f>Schedules_Populated!N17</f>
        <v>2639.1373587470462</v>
      </c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</row>
    <row r="54" spans="1:47" s="301" customFormat="1">
      <c r="A54" s="446"/>
      <c r="B54" s="318" t="s">
        <v>34</v>
      </c>
      <c r="C54" s="335">
        <v>820</v>
      </c>
      <c r="D54" s="320">
        <v>998</v>
      </c>
      <c r="E54" s="320">
        <v>681</v>
      </c>
      <c r="F54" s="320">
        <v>743</v>
      </c>
      <c r="G54" s="320">
        <v>861</v>
      </c>
      <c r="H54" s="320">
        <v>1083</v>
      </c>
      <c r="I54" s="321">
        <v>1312</v>
      </c>
      <c r="J54" s="299">
        <f>Schedules_Populated!J18</f>
        <v>1363.6489425897585</v>
      </c>
      <c r="K54" s="299">
        <f>Schedules_Populated!K18</f>
        <v>1374.0811251119965</v>
      </c>
      <c r="L54" s="299">
        <f>Schedules_Populated!L18</f>
        <v>1364.9135863444164</v>
      </c>
      <c r="M54" s="299">
        <f>Schedules_Populated!M18</f>
        <v>1375.6534084534571</v>
      </c>
      <c r="N54" s="300">
        <f>Schedules_Populated!N18</f>
        <v>1406.7989627926986</v>
      </c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</row>
    <row r="55" spans="1:47" s="301" customFormat="1" ht="15" thickBot="1">
      <c r="A55" s="446"/>
      <c r="B55" s="336" t="s">
        <v>40</v>
      </c>
      <c r="C55" s="337">
        <v>671</v>
      </c>
      <c r="D55" s="338">
        <v>736</v>
      </c>
      <c r="E55" s="338">
        <v>1409</v>
      </c>
      <c r="F55" s="338">
        <v>2680</v>
      </c>
      <c r="G55" s="338">
        <v>2869</v>
      </c>
      <c r="H55" s="338">
        <v>3337</v>
      </c>
      <c r="I55" s="339">
        <v>4175</v>
      </c>
      <c r="J55" s="340">
        <f>Schedules_Populated!J19</f>
        <v>4239.8478629963802</v>
      </c>
      <c r="K55" s="340">
        <f>Schedules_Populated!K19</f>
        <v>4405.7618109629639</v>
      </c>
      <c r="L55" s="340">
        <f>Schedules_Populated!L19</f>
        <v>4334.7185189486299</v>
      </c>
      <c r="M55" s="340">
        <f>Schedules_Populated!M19</f>
        <v>4360.5591001261228</v>
      </c>
      <c r="N55" s="341">
        <f>Schedules_Populated!N19</f>
        <v>4460.208335459095</v>
      </c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</row>
    <row r="56" spans="1:47" s="301" customFormat="1" ht="15.5" thickTop="1" thickBot="1">
      <c r="A56" s="446"/>
      <c r="B56" s="318" t="s">
        <v>304</v>
      </c>
      <c r="C56" s="320"/>
      <c r="D56" s="320"/>
      <c r="E56" s="320">
        <v>696</v>
      </c>
      <c r="F56" s="320">
        <v>855</v>
      </c>
      <c r="G56" s="320">
        <v>1111</v>
      </c>
      <c r="H56" s="320">
        <v>1158</v>
      </c>
      <c r="I56" s="321">
        <v>1203</v>
      </c>
      <c r="J56" s="299"/>
      <c r="K56" s="299"/>
      <c r="L56" s="299"/>
      <c r="M56" s="299"/>
      <c r="N56" s="300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</row>
    <row r="57" spans="1:47" ht="15" thickBot="1">
      <c r="A57" s="446"/>
      <c r="B57" s="65" t="s">
        <v>41</v>
      </c>
      <c r="C57" s="66">
        <f>SUM(C48:C55)</f>
        <v>42855</v>
      </c>
      <c r="D57" s="66">
        <f>SUM(D48:D55)</f>
        <v>43203</v>
      </c>
      <c r="E57" s="66">
        <f>SUM(E48:E56)</f>
        <v>11306</v>
      </c>
      <c r="F57" s="66">
        <f>SUM(F48:F56)</f>
        <v>16214.4</v>
      </c>
      <c r="G57" s="66">
        <f>SUM(G48:G56)</f>
        <v>17023</v>
      </c>
      <c r="H57" s="66">
        <f>SUM(H48:H56)</f>
        <v>22766</v>
      </c>
      <c r="I57" s="67">
        <f>SUM(I48:I56)</f>
        <v>25953</v>
      </c>
      <c r="J57" s="68">
        <f>SUM(J48:J55)</f>
        <v>25341.818701011376</v>
      </c>
      <c r="K57" s="68">
        <f>SUM(K48:K55)</f>
        <v>25837.766183204076</v>
      </c>
      <c r="L57" s="68">
        <f>SUM(L48:L55)</f>
        <v>25492.249880720632</v>
      </c>
      <c r="M57" s="68">
        <f>SUM(M48:M55)</f>
        <v>25788.227396508672</v>
      </c>
      <c r="N57" s="69">
        <f>SUM(N48:N55)</f>
        <v>26348.983592734545</v>
      </c>
      <c r="O57" s="446"/>
      <c r="P57" s="451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</row>
    <row r="58" spans="1:47" ht="15" thickBot="1">
      <c r="A58" s="446"/>
      <c r="B58" s="65" t="s">
        <v>42</v>
      </c>
      <c r="C58" s="66">
        <f t="shared" ref="C58:N58" si="6">C46+C57</f>
        <v>49587</v>
      </c>
      <c r="D58" s="66">
        <f t="shared" si="6"/>
        <v>47957</v>
      </c>
      <c r="E58" s="66">
        <f t="shared" si="6"/>
        <v>14197</v>
      </c>
      <c r="F58" s="66">
        <f t="shared" si="6"/>
        <v>18875.2</v>
      </c>
      <c r="G58" s="66">
        <f t="shared" si="6"/>
        <v>19321</v>
      </c>
      <c r="H58" s="66">
        <f t="shared" si="6"/>
        <v>25784</v>
      </c>
      <c r="I58" s="67">
        <f t="shared" si="6"/>
        <v>29716</v>
      </c>
      <c r="J58" s="68">
        <f t="shared" si="6"/>
        <v>28562.096835004701</v>
      </c>
      <c r="K58" s="68">
        <f t="shared" si="6"/>
        <v>29068.823642039417</v>
      </c>
      <c r="L58" s="68">
        <f t="shared" si="6"/>
        <v>28672.925098709307</v>
      </c>
      <c r="M58" s="68">
        <f t="shared" si="6"/>
        <v>29042.01999431647</v>
      </c>
      <c r="N58" s="69">
        <f t="shared" si="6"/>
        <v>29634.928756592166</v>
      </c>
    </row>
    <row r="59" spans="1:47" ht="15" thickBot="1">
      <c r="A59" s="446"/>
      <c r="B59" s="65" t="s">
        <v>43</v>
      </c>
      <c r="C59" s="66">
        <f t="shared" ref="C59:N59" si="7">C37+C58</f>
        <v>38699</v>
      </c>
      <c r="D59" s="66">
        <f t="shared" si="7"/>
        <v>41352</v>
      </c>
      <c r="E59" s="66">
        <f t="shared" si="7"/>
        <v>63629</v>
      </c>
      <c r="F59" s="66">
        <f t="shared" si="7"/>
        <v>71376.2</v>
      </c>
      <c r="G59" s="66">
        <f t="shared" si="7"/>
        <v>74654</v>
      </c>
      <c r="H59" s="66">
        <f t="shared" si="7"/>
        <v>100384</v>
      </c>
      <c r="I59" s="67">
        <f t="shared" si="7"/>
        <v>115352</v>
      </c>
      <c r="J59" s="68">
        <f t="shared" si="7"/>
        <v>133817.45865486967</v>
      </c>
      <c r="K59" s="68">
        <f t="shared" si="7"/>
        <v>162645.09466652328</v>
      </c>
      <c r="L59" s="68">
        <f t="shared" si="7"/>
        <v>200803.56671830616</v>
      </c>
      <c r="M59" s="68">
        <f t="shared" si="7"/>
        <v>251337.31607990383</v>
      </c>
      <c r="N59" s="69">
        <f t="shared" si="7"/>
        <v>315186.95966006757</v>
      </c>
    </row>
    <row r="60" spans="1:47" ht="15" thickBot="1">
      <c r="A60" s="446"/>
      <c r="B60" s="12"/>
      <c r="C60" s="20"/>
      <c r="D60" s="21"/>
      <c r="E60" s="21"/>
      <c r="F60" s="21"/>
      <c r="G60" s="21"/>
      <c r="H60" s="21"/>
      <c r="I60" s="22"/>
      <c r="J60" s="45"/>
      <c r="K60" s="45"/>
      <c r="L60" s="45"/>
      <c r="M60" s="45"/>
      <c r="N60" s="59"/>
    </row>
    <row r="61" spans="1:47" s="346" customFormat="1" ht="15.5" thickTop="1" thickBot="1">
      <c r="A61" s="446"/>
      <c r="B61" s="369" t="s">
        <v>44</v>
      </c>
      <c r="C61" s="370">
        <f t="shared" ref="C61:N61" si="8">C31-C59</f>
        <v>0</v>
      </c>
      <c r="D61" s="370">
        <f t="shared" si="8"/>
        <v>0</v>
      </c>
      <c r="E61" s="370">
        <f t="shared" si="8"/>
        <v>-0.30000000000291038</v>
      </c>
      <c r="F61" s="370">
        <f t="shared" si="8"/>
        <v>0</v>
      </c>
      <c r="G61" s="370">
        <f t="shared" si="8"/>
        <v>0.19999999999708962</v>
      </c>
      <c r="H61" s="370">
        <f t="shared" si="8"/>
        <v>0.19999999999708962</v>
      </c>
      <c r="I61" s="371">
        <f t="shared" si="8"/>
        <v>0.10000000000582077</v>
      </c>
      <c r="J61" s="372">
        <f t="shared" si="8"/>
        <v>0.10000000000582077</v>
      </c>
      <c r="K61" s="372">
        <f t="shared" si="8"/>
        <v>0.10000000000582077</v>
      </c>
      <c r="L61" s="372">
        <f t="shared" si="8"/>
        <v>0.1000000000349246</v>
      </c>
      <c r="M61" s="372">
        <f t="shared" si="8"/>
        <v>9.9999999976716936E-2</v>
      </c>
      <c r="N61" s="373">
        <f t="shared" si="8"/>
        <v>9.9999999976716936E-2</v>
      </c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</row>
    <row r="63" spans="1:47">
      <c r="J63" s="14"/>
    </row>
    <row r="67" spans="6:9">
      <c r="F67" s="25"/>
    </row>
    <row r="71" spans="6:9">
      <c r="G71" s="167"/>
      <c r="H71" s="167"/>
      <c r="I71" s="167"/>
    </row>
    <row r="72" spans="6:9">
      <c r="G72" s="167"/>
      <c r="H72" s="167"/>
    </row>
    <row r="74" spans="6:9">
      <c r="G74" s="167"/>
      <c r="H74" s="167"/>
    </row>
    <row r="85" spans="6:8">
      <c r="F85" s="25"/>
      <c r="G85" s="14"/>
      <c r="H85" s="14"/>
    </row>
    <row r="86" spans="6:8">
      <c r="G86" s="14"/>
      <c r="H86" s="14"/>
    </row>
    <row r="88" spans="6:8">
      <c r="F88" s="25"/>
      <c r="G88" s="14"/>
      <c r="H88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03EB-825F-4350-A78B-B2FF9C00EC6E}">
  <dimension ref="A1:CQ20"/>
  <sheetViews>
    <sheetView showGridLines="0" zoomScaleNormal="100" workbookViewId="0">
      <selection activeCell="K18" sqref="K18"/>
    </sheetView>
  </sheetViews>
  <sheetFormatPr defaultRowHeight="14.5"/>
  <cols>
    <col min="1" max="1" width="61" bestFit="1" customWidth="1"/>
    <col min="2" max="6" width="10.1796875" customWidth="1"/>
  </cols>
  <sheetData>
    <row r="1" spans="1:95" ht="15" thickBot="1">
      <c r="A1" s="6" t="s">
        <v>331</v>
      </c>
      <c r="B1" s="3" t="s">
        <v>137</v>
      </c>
      <c r="C1" s="3" t="s">
        <v>138</v>
      </c>
      <c r="D1" s="3" t="s">
        <v>139</v>
      </c>
      <c r="E1" s="3" t="s">
        <v>154</v>
      </c>
      <c r="F1" s="5" t="s">
        <v>210</v>
      </c>
    </row>
    <row r="2" spans="1:95" s="301" customFormat="1">
      <c r="A2" s="374" t="s">
        <v>140</v>
      </c>
      <c r="B2" s="375">
        <f>'Profit &amp; Loss Statement'!J25</f>
        <v>19619.361819864978</v>
      </c>
      <c r="C2" s="375">
        <f>'Profit &amp; Loss Statement'!K25</f>
        <v>28320.909204618896</v>
      </c>
      <c r="D2" s="375">
        <f>'Profit &amp; Loss Statement'!L25</f>
        <v>38554.370595112996</v>
      </c>
      <c r="E2" s="375">
        <f>'Profit &amp; Loss Statement'!M25</f>
        <v>50164.654465990483</v>
      </c>
      <c r="F2" s="376">
        <f>'Profit &amp; Loss Statement'!N25</f>
        <v>63256.734817888042</v>
      </c>
      <c r="G2" s="446"/>
      <c r="H2" s="446" t="s">
        <v>212</v>
      </c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6"/>
      <c r="BO2" s="446"/>
      <c r="BP2" s="446"/>
      <c r="BQ2" s="446"/>
      <c r="BR2" s="446"/>
      <c r="BS2" s="446"/>
      <c r="BT2" s="446"/>
      <c r="BU2" s="446"/>
      <c r="BV2" s="446"/>
      <c r="BW2" s="446"/>
      <c r="BX2" s="446"/>
      <c r="BY2" s="446"/>
      <c r="BZ2" s="446"/>
      <c r="CA2" s="446"/>
      <c r="CB2" s="446"/>
      <c r="CC2" s="446"/>
      <c r="CD2" s="446"/>
      <c r="CE2" s="446"/>
      <c r="CF2" s="446"/>
      <c r="CG2" s="446"/>
      <c r="CH2" s="446"/>
      <c r="CI2" s="446"/>
      <c r="CJ2" s="446"/>
      <c r="CK2" s="446"/>
      <c r="CL2" s="446"/>
      <c r="CM2" s="446"/>
      <c r="CN2" s="446"/>
      <c r="CO2" s="446"/>
      <c r="CP2" s="446"/>
      <c r="CQ2" s="446"/>
    </row>
    <row r="3" spans="1:95" s="301" customFormat="1">
      <c r="A3" s="358" t="s">
        <v>141</v>
      </c>
      <c r="B3" s="359">
        <f>'Profit &amp; Loss Statement'!J12</f>
        <v>208.4221303421381</v>
      </c>
      <c r="C3" s="359">
        <f>'Profit &amp; Loss Statement'!K12</f>
        <v>208.00119655366024</v>
      </c>
      <c r="D3" s="359">
        <f>'Profit &amp; Loss Statement'!L12</f>
        <v>232.38795254177526</v>
      </c>
      <c r="E3" s="359">
        <f>'Profit &amp; Loss Statement'!M12</f>
        <v>242.84088468463722</v>
      </c>
      <c r="F3" s="359">
        <f>'Profit &amp; Loss Statement'!N12</f>
        <v>240.07668329808814</v>
      </c>
      <c r="G3" s="446"/>
      <c r="H3" s="446" t="s">
        <v>212</v>
      </c>
      <c r="I3" s="446"/>
      <c r="J3" s="446"/>
      <c r="K3" s="446"/>
      <c r="L3" s="447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6"/>
      <c r="BJ3" s="446"/>
      <c r="BK3" s="446"/>
      <c r="BL3" s="446"/>
      <c r="BM3" s="446"/>
      <c r="BN3" s="446"/>
      <c r="BO3" s="446"/>
      <c r="BP3" s="446"/>
      <c r="BQ3" s="446"/>
      <c r="BR3" s="446"/>
      <c r="BS3" s="446"/>
      <c r="BT3" s="446"/>
      <c r="BU3" s="446"/>
      <c r="BV3" s="446"/>
      <c r="BW3" s="446"/>
      <c r="BX3" s="446"/>
      <c r="BY3" s="446"/>
      <c r="BZ3" s="446"/>
      <c r="CA3" s="446"/>
      <c r="CB3" s="446"/>
      <c r="CC3" s="446"/>
      <c r="CD3" s="446"/>
      <c r="CE3" s="446"/>
      <c r="CF3" s="446"/>
      <c r="CG3" s="446"/>
      <c r="CH3" s="446"/>
      <c r="CI3" s="446"/>
      <c r="CJ3" s="446"/>
      <c r="CK3" s="446"/>
      <c r="CL3" s="446"/>
      <c r="CM3" s="446"/>
      <c r="CN3" s="446"/>
      <c r="CO3" s="446"/>
      <c r="CP3" s="446"/>
      <c r="CQ3" s="446"/>
    </row>
    <row r="4" spans="1:95" s="301" customFormat="1">
      <c r="A4" s="358" t="s">
        <v>142</v>
      </c>
      <c r="B4" s="359">
        <f>'Profit &amp; Loss Statement'!J11</f>
        <v>6453.3954093502152</v>
      </c>
      <c r="C4" s="359">
        <f>'Profit &amp; Loss Statement'!K11</f>
        <v>6977.0334097070099</v>
      </c>
      <c r="D4" s="359">
        <f>'Profit &amp; Loss Statement'!L11</f>
        <v>8146.8452960930135</v>
      </c>
      <c r="E4" s="359">
        <f>'Profit &amp; Loss Statement'!M11</f>
        <v>9146.1260229708751</v>
      </c>
      <c r="F4" s="360">
        <f>'Profit &amp; Loss Statement'!N11</f>
        <v>10473.12805272782</v>
      </c>
      <c r="G4" s="446"/>
      <c r="H4" s="446" t="s">
        <v>212</v>
      </c>
      <c r="I4" s="446" t="s">
        <v>258</v>
      </c>
      <c r="J4" s="446"/>
      <c r="K4" s="446"/>
      <c r="L4" s="447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  <c r="BJ4" s="446"/>
      <c r="BK4" s="446"/>
      <c r="BL4" s="446"/>
      <c r="BM4" s="446"/>
      <c r="BN4" s="446"/>
      <c r="BO4" s="446"/>
      <c r="BP4" s="446"/>
      <c r="BQ4" s="446"/>
      <c r="BR4" s="446"/>
      <c r="BS4" s="446"/>
      <c r="BT4" s="446"/>
      <c r="BU4" s="446"/>
      <c r="BV4" s="446"/>
      <c r="BW4" s="446"/>
      <c r="BX4" s="446"/>
      <c r="BY4" s="446"/>
      <c r="BZ4" s="446"/>
      <c r="CA4" s="446"/>
      <c r="CB4" s="446"/>
      <c r="CC4" s="446"/>
      <c r="CD4" s="446"/>
      <c r="CE4" s="446"/>
      <c r="CF4" s="446"/>
      <c r="CG4" s="446"/>
      <c r="CH4" s="446"/>
      <c r="CI4" s="446"/>
      <c r="CJ4" s="446"/>
      <c r="CK4" s="446"/>
      <c r="CL4" s="446"/>
      <c r="CM4" s="446"/>
      <c r="CN4" s="446"/>
      <c r="CO4" s="446"/>
      <c r="CP4" s="446"/>
      <c r="CQ4" s="446"/>
    </row>
    <row r="5" spans="1:95" s="301" customFormat="1">
      <c r="A5" s="358" t="s">
        <v>143</v>
      </c>
      <c r="B5" s="359">
        <f>-Schedules_Populated!J22</f>
        <v>1217.3735304127604</v>
      </c>
      <c r="C5" s="359">
        <f>-Schedules_Populated!K22</f>
        <v>573.95801960337667</v>
      </c>
      <c r="D5" s="359">
        <f>-Schedules_Populated!L22</f>
        <v>56.37151631766028</v>
      </c>
      <c r="E5" s="359">
        <f>-Schedules_Populated!M22</f>
        <v>-151.08202361382246</v>
      </c>
      <c r="F5" s="360">
        <f>-Schedules_Populated!N22</f>
        <v>253.61227496059109</v>
      </c>
      <c r="G5" s="446"/>
      <c r="H5" s="446" t="s">
        <v>259</v>
      </c>
      <c r="I5" s="446"/>
      <c r="J5" s="446"/>
      <c r="K5" s="446"/>
      <c r="L5" s="447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6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</row>
    <row r="6" spans="1:95">
      <c r="A6" s="288" t="s">
        <v>144</v>
      </c>
      <c r="B6" s="289">
        <f>SUM(B2:B5)</f>
        <v>27498.552889970088</v>
      </c>
      <c r="C6" s="289">
        <f t="shared" ref="C6:F6" si="0">SUM(C2:C5)</f>
        <v>36079.901830482944</v>
      </c>
      <c r="D6" s="289">
        <f t="shared" si="0"/>
        <v>46989.975360065444</v>
      </c>
      <c r="E6" s="289">
        <f t="shared" si="0"/>
        <v>59402.539350032166</v>
      </c>
      <c r="F6" s="290">
        <f t="shared" si="0"/>
        <v>74223.551828874537</v>
      </c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6"/>
      <c r="T6" s="446"/>
      <c r="U6" s="446"/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  <c r="BF6" s="446"/>
      <c r="BG6" s="446"/>
      <c r="BH6" s="446"/>
      <c r="BI6" s="446"/>
      <c r="BJ6" s="446"/>
      <c r="BK6" s="446"/>
      <c r="BL6" s="446"/>
      <c r="BM6" s="446"/>
      <c r="BN6" s="446"/>
      <c r="BO6" s="446"/>
      <c r="BP6" s="446"/>
      <c r="BQ6" s="446"/>
      <c r="BR6" s="446"/>
      <c r="BS6" s="446"/>
      <c r="BT6" s="446"/>
      <c r="BU6" s="446"/>
      <c r="BV6" s="446"/>
      <c r="BW6" s="446"/>
      <c r="BX6" s="446"/>
      <c r="BY6" s="446"/>
      <c r="BZ6" s="446"/>
      <c r="CA6" s="446"/>
      <c r="CB6" s="446"/>
      <c r="CC6" s="446"/>
      <c r="CD6" s="446"/>
      <c r="CE6" s="446"/>
      <c r="CF6" s="446"/>
      <c r="CG6" s="446"/>
      <c r="CH6" s="446"/>
      <c r="CI6" s="446"/>
      <c r="CJ6" s="446"/>
      <c r="CK6" s="446"/>
      <c r="CL6" s="446"/>
      <c r="CM6" s="446"/>
      <c r="CN6" s="446"/>
      <c r="CO6" s="446"/>
      <c r="CP6" s="446"/>
      <c r="CQ6" s="446"/>
    </row>
    <row r="7" spans="1:95">
      <c r="A7" s="160"/>
      <c r="B7" s="161"/>
      <c r="C7" s="161"/>
      <c r="D7" s="161"/>
      <c r="E7" s="161"/>
      <c r="F7" s="162"/>
      <c r="G7" s="446"/>
      <c r="H7" s="446"/>
      <c r="I7" s="446"/>
      <c r="J7" s="446"/>
      <c r="K7" s="446"/>
      <c r="L7" s="446"/>
      <c r="M7" s="446"/>
      <c r="N7" s="446"/>
      <c r="O7" s="446"/>
      <c r="P7" s="446"/>
      <c r="Q7" s="446"/>
      <c r="R7" s="446"/>
      <c r="S7" s="446"/>
      <c r="T7" s="446"/>
      <c r="U7" s="446"/>
      <c r="V7" s="446"/>
      <c r="W7" s="446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  <c r="BF7" s="446"/>
      <c r="BG7" s="446"/>
      <c r="BH7" s="446"/>
      <c r="BI7" s="446"/>
      <c r="BJ7" s="446"/>
      <c r="BK7" s="446"/>
      <c r="BL7" s="446"/>
      <c r="BM7" s="446"/>
      <c r="BN7" s="446"/>
      <c r="BO7" s="446"/>
      <c r="BP7" s="446"/>
      <c r="BQ7" s="446"/>
      <c r="BR7" s="446"/>
      <c r="BS7" s="446"/>
      <c r="BT7" s="446"/>
      <c r="BU7" s="446"/>
      <c r="BV7" s="446"/>
      <c r="BW7" s="446"/>
      <c r="BX7" s="446"/>
      <c r="BY7" s="446"/>
      <c r="BZ7" s="446"/>
      <c r="CA7" s="446"/>
      <c r="CB7" s="446"/>
      <c r="CC7" s="446"/>
      <c r="CD7" s="446"/>
      <c r="CE7" s="446"/>
      <c r="CF7" s="446"/>
      <c r="CG7" s="446"/>
      <c r="CH7" s="446"/>
      <c r="CI7" s="446"/>
      <c r="CJ7" s="446"/>
      <c r="CK7" s="446"/>
      <c r="CL7" s="446"/>
      <c r="CM7" s="446"/>
      <c r="CN7" s="446"/>
      <c r="CO7" s="446"/>
      <c r="CP7" s="446"/>
      <c r="CQ7" s="446"/>
    </row>
    <row r="8" spans="1:95">
      <c r="A8" s="160" t="s">
        <v>260</v>
      </c>
      <c r="B8" s="161">
        <f>SUM('Balance Sheet'!I6:I7,'Balance Sheet'!I9,'Balance Sheet'!I13:I17,'Balance Sheet'!J43:J45)-SUM('Balance Sheet'!J6:J7,'Balance Sheet'!J9,'Balance Sheet'!J13:J17,'Balance Sheet'!I43:I45)</f>
        <v>2743.5400000000009</v>
      </c>
      <c r="C8" s="161">
        <f>SUM('Balance Sheet'!J6:J7,'Balance Sheet'!J9,'Balance Sheet'!J13:J17,'Balance Sheet'!K43:K45)-SUM('Balance Sheet'!K6:K7,'Balance Sheet'!K9,'Balance Sheet'!K13:K17,'Balance Sheet'!J43:J45)</f>
        <v>-280.003999999999</v>
      </c>
      <c r="D8" s="161">
        <f>SUM('Balance Sheet'!K6:K7,'Balance Sheet'!K9,'Balance Sheet'!K13:K17,'Balance Sheet'!L43:L45)-SUM('Balance Sheet'!L6:L7,'Balance Sheet'!L9,'Balance Sheet'!L13:L17,'Balance Sheet'!K43:K45)</f>
        <v>48.170400000000882</v>
      </c>
      <c r="E8" s="161">
        <f>SUM('Balance Sheet'!L6:L7,'Balance Sheet'!L9,'Balance Sheet'!L13:L17,'Balance Sheet'!M43:M45)-SUM('Balance Sheet'!M6:M7,'Balance Sheet'!M9,'Balance Sheet'!M13:M17,'Balance Sheet'!L43:L45)</f>
        <v>-176.11904000000141</v>
      </c>
      <c r="F8" s="162">
        <f>SUM('Balance Sheet'!M6:M7,'Balance Sheet'!M9,'Balance Sheet'!M13:M17,'Balance Sheet'!N43:N45)-SUM('Balance Sheet'!N6:N7,'Balance Sheet'!N9,'Balance Sheet'!N13:N17,'Balance Sheet'!M43:M45)</f>
        <v>-127.13289599999916</v>
      </c>
      <c r="G8" s="446"/>
      <c r="H8" s="446"/>
      <c r="I8" s="446"/>
      <c r="J8" s="446"/>
      <c r="K8" s="446"/>
      <c r="L8" s="446"/>
      <c r="M8" s="446"/>
      <c r="N8" s="446"/>
      <c r="O8" s="446"/>
      <c r="P8" s="446"/>
      <c r="Q8" s="446"/>
      <c r="R8" s="446"/>
      <c r="S8" s="446"/>
      <c r="T8" s="446"/>
      <c r="U8" s="446"/>
      <c r="V8" s="446"/>
      <c r="W8" s="446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  <c r="BF8" s="446"/>
      <c r="BG8" s="446"/>
      <c r="BH8" s="446"/>
      <c r="BI8" s="446"/>
      <c r="BJ8" s="446"/>
      <c r="BK8" s="446"/>
      <c r="BL8" s="446"/>
      <c r="BM8" s="446"/>
      <c r="BN8" s="446"/>
      <c r="BO8" s="446"/>
      <c r="BP8" s="446"/>
      <c r="BQ8" s="446"/>
      <c r="BR8" s="446"/>
      <c r="BS8" s="446"/>
      <c r="BT8" s="446"/>
      <c r="BU8" s="446"/>
      <c r="BV8" s="446"/>
      <c r="BW8" s="446"/>
      <c r="BX8" s="446"/>
      <c r="BY8" s="446"/>
      <c r="BZ8" s="446"/>
      <c r="CA8" s="446"/>
      <c r="CB8" s="446"/>
      <c r="CC8" s="446"/>
      <c r="CD8" s="446"/>
      <c r="CE8" s="446"/>
      <c r="CF8" s="446"/>
      <c r="CG8" s="446"/>
      <c r="CH8" s="446"/>
      <c r="CI8" s="446"/>
      <c r="CJ8" s="446"/>
      <c r="CK8" s="446"/>
      <c r="CL8" s="446"/>
      <c r="CM8" s="446"/>
      <c r="CN8" s="446"/>
      <c r="CO8" s="446"/>
      <c r="CP8" s="446"/>
      <c r="CQ8" s="446"/>
    </row>
    <row r="9" spans="1:95" s="301" customFormat="1">
      <c r="A9" s="358" t="s">
        <v>145</v>
      </c>
      <c r="B9" s="359">
        <f>-Schedules_Populated!J106</f>
        <v>-7884</v>
      </c>
      <c r="C9" s="359">
        <f>-Schedules_Populated!K106</f>
        <v>-9680.0931140253233</v>
      </c>
      <c r="D9" s="359">
        <f>-Schedules_Populated!L106</f>
        <v>-10465.550114560514</v>
      </c>
      <c r="E9" s="359">
        <f>-Schedules_Populated!M106</f>
        <v>-12220.267944139521</v>
      </c>
      <c r="F9" s="360">
        <f>-Schedules_Populated!N106</f>
        <v>-13719.189034456314</v>
      </c>
      <c r="G9" s="446"/>
      <c r="H9" s="446" t="s">
        <v>330</v>
      </c>
      <c r="I9" s="446"/>
      <c r="J9" s="451"/>
      <c r="K9" s="446"/>
      <c r="L9" s="446"/>
      <c r="M9" s="446"/>
      <c r="N9" s="446"/>
      <c r="O9" s="446"/>
      <c r="P9" s="446"/>
      <c r="Q9" s="446"/>
      <c r="R9" s="446"/>
      <c r="S9" s="446"/>
      <c r="T9" s="446"/>
      <c r="U9" s="446"/>
      <c r="V9" s="446"/>
      <c r="W9" s="446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  <c r="BF9" s="446"/>
      <c r="BG9" s="446"/>
      <c r="BH9" s="446"/>
      <c r="BI9" s="446"/>
      <c r="BJ9" s="446"/>
      <c r="BK9" s="446"/>
      <c r="BL9" s="446"/>
      <c r="BM9" s="446"/>
      <c r="BN9" s="446"/>
      <c r="BO9" s="446"/>
      <c r="BP9" s="446"/>
      <c r="BQ9" s="446"/>
      <c r="BR9" s="446"/>
      <c r="BS9" s="446"/>
      <c r="BT9" s="446"/>
      <c r="BU9" s="446"/>
      <c r="BV9" s="446"/>
      <c r="BW9" s="446"/>
      <c r="BX9" s="446"/>
      <c r="BY9" s="446"/>
      <c r="BZ9" s="446"/>
      <c r="CA9" s="446"/>
      <c r="CB9" s="446"/>
      <c r="CC9" s="446"/>
      <c r="CD9" s="446"/>
      <c r="CE9" s="446"/>
      <c r="CF9" s="446"/>
      <c r="CG9" s="446"/>
      <c r="CH9" s="446"/>
      <c r="CI9" s="446"/>
      <c r="CJ9" s="446"/>
      <c r="CK9" s="446"/>
      <c r="CL9" s="446"/>
      <c r="CM9" s="446"/>
      <c r="CN9" s="446"/>
      <c r="CO9" s="446"/>
      <c r="CP9" s="446"/>
      <c r="CQ9" s="446"/>
    </row>
    <row r="10" spans="1:95">
      <c r="A10" s="288" t="s">
        <v>146</v>
      </c>
      <c r="B10" s="289">
        <f>B9+B8</f>
        <v>-5140.4599999999991</v>
      </c>
      <c r="C10" s="289">
        <f t="shared" ref="C10:F10" si="1">C9+C8</f>
        <v>-9960.0971140253223</v>
      </c>
      <c r="D10" s="289">
        <f t="shared" si="1"/>
        <v>-10417.379714560513</v>
      </c>
      <c r="E10" s="289">
        <f t="shared" si="1"/>
        <v>-12396.386984139523</v>
      </c>
      <c r="F10" s="290">
        <f t="shared" si="1"/>
        <v>-13846.321930456314</v>
      </c>
      <c r="G10" s="446"/>
      <c r="H10" s="446"/>
      <c r="I10" s="446"/>
      <c r="J10" s="446"/>
      <c r="K10" s="446"/>
      <c r="L10" s="446"/>
      <c r="M10" s="446"/>
      <c r="N10" s="446"/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  <c r="BF10" s="446"/>
      <c r="BG10" s="446"/>
      <c r="BH10" s="446"/>
      <c r="BI10" s="446"/>
      <c r="BJ10" s="446"/>
      <c r="BK10" s="446"/>
      <c r="BL10" s="446"/>
      <c r="BM10" s="446"/>
      <c r="BN10" s="446"/>
      <c r="BO10" s="446"/>
      <c r="BP10" s="446"/>
      <c r="BQ10" s="446"/>
      <c r="BR10" s="446"/>
      <c r="BS10" s="446"/>
      <c r="BT10" s="446"/>
      <c r="BU10" s="446"/>
      <c r="BV10" s="446"/>
      <c r="BW10" s="446"/>
      <c r="BX10" s="446"/>
      <c r="BY10" s="446"/>
      <c r="BZ10" s="446"/>
      <c r="CA10" s="446"/>
      <c r="CB10" s="446"/>
      <c r="CC10" s="446"/>
      <c r="CD10" s="446"/>
      <c r="CE10" s="446"/>
      <c r="CF10" s="446"/>
      <c r="CG10" s="446"/>
      <c r="CH10" s="446"/>
      <c r="CI10" s="446"/>
      <c r="CJ10" s="446"/>
      <c r="CK10" s="446"/>
      <c r="CL10" s="446"/>
      <c r="CM10" s="446"/>
      <c r="CN10" s="446"/>
      <c r="CO10" s="446"/>
      <c r="CP10" s="446"/>
      <c r="CQ10" s="446"/>
    </row>
    <row r="11" spans="1:95">
      <c r="A11" s="160"/>
      <c r="B11" s="161"/>
      <c r="C11" s="161"/>
      <c r="D11" s="161"/>
      <c r="E11" s="161"/>
      <c r="F11" s="162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  <c r="BF11" s="446"/>
      <c r="BG11" s="446"/>
      <c r="BH11" s="446"/>
      <c r="BI11" s="446"/>
      <c r="BJ11" s="446"/>
      <c r="BK11" s="446"/>
      <c r="BL11" s="446"/>
      <c r="BM11" s="446"/>
      <c r="BN11" s="446"/>
      <c r="BO11" s="446"/>
      <c r="BP11" s="446"/>
      <c r="BQ11" s="446"/>
      <c r="BR11" s="446"/>
      <c r="BS11" s="446"/>
      <c r="BT11" s="446"/>
      <c r="BU11" s="446"/>
      <c r="BV11" s="446"/>
      <c r="BW11" s="446"/>
      <c r="BX11" s="446"/>
      <c r="BY11" s="446"/>
      <c r="BZ11" s="446"/>
      <c r="CA11" s="446"/>
      <c r="CB11" s="446"/>
      <c r="CC11" s="446"/>
      <c r="CD11" s="446"/>
      <c r="CE11" s="446"/>
      <c r="CF11" s="446"/>
      <c r="CG11" s="446"/>
      <c r="CH11" s="446"/>
      <c r="CI11" s="446"/>
      <c r="CJ11" s="446"/>
      <c r="CK11" s="446"/>
      <c r="CL11" s="446"/>
      <c r="CM11" s="446"/>
      <c r="CN11" s="446"/>
      <c r="CO11" s="446"/>
      <c r="CP11" s="446"/>
      <c r="CQ11" s="446"/>
    </row>
    <row r="12" spans="1:95" s="301" customFormat="1">
      <c r="A12" s="358" t="s">
        <v>147</v>
      </c>
      <c r="B12" s="359">
        <f>'Balance Sheet'!J34-'Balance Sheet'!I34</f>
        <v>0</v>
      </c>
      <c r="C12" s="359">
        <f>'Balance Sheet'!K34-'Balance Sheet'!J34</f>
        <v>0</v>
      </c>
      <c r="D12" s="359">
        <f>'Balance Sheet'!L34-'Balance Sheet'!K34</f>
        <v>0</v>
      </c>
      <c r="E12" s="359">
        <f>'Balance Sheet'!M34-'Balance Sheet'!L34</f>
        <v>0</v>
      </c>
      <c r="F12" s="360">
        <f>'Balance Sheet'!N34-'Balance Sheet'!M34</f>
        <v>0</v>
      </c>
      <c r="G12" s="446"/>
      <c r="H12" s="446" t="s">
        <v>211</v>
      </c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  <c r="BF12" s="446"/>
      <c r="BG12" s="446"/>
      <c r="BH12" s="446"/>
      <c r="BI12" s="446"/>
      <c r="BJ12" s="446"/>
      <c r="BK12" s="446"/>
      <c r="BL12" s="446"/>
      <c r="BM12" s="446"/>
      <c r="BN12" s="446"/>
      <c r="BO12" s="446"/>
      <c r="BP12" s="446"/>
      <c r="BQ12" s="446"/>
      <c r="BR12" s="446"/>
      <c r="BS12" s="446"/>
      <c r="BT12" s="446"/>
      <c r="BU12" s="446"/>
      <c r="BV12" s="446"/>
      <c r="BW12" s="446"/>
      <c r="BX12" s="446"/>
      <c r="BY12" s="446"/>
      <c r="BZ12" s="446"/>
      <c r="CA12" s="446"/>
      <c r="CB12" s="446"/>
      <c r="CC12" s="446"/>
      <c r="CD12" s="446"/>
      <c r="CE12" s="446"/>
      <c r="CF12" s="446"/>
      <c r="CG12" s="446"/>
      <c r="CH12" s="446"/>
      <c r="CI12" s="446"/>
      <c r="CJ12" s="446"/>
      <c r="CK12" s="446"/>
      <c r="CL12" s="446"/>
      <c r="CM12" s="446"/>
      <c r="CN12" s="446"/>
      <c r="CO12" s="446"/>
      <c r="CP12" s="446"/>
      <c r="CQ12" s="446"/>
    </row>
    <row r="13" spans="1:95" s="301" customFormat="1">
      <c r="A13" s="358" t="s">
        <v>215</v>
      </c>
      <c r="B13" s="359">
        <f>Schedules_Populated!J61+Schedules_Populated!J66</f>
        <v>5.978133993323361</v>
      </c>
      <c r="C13" s="359">
        <f>Schedules_Populated!K61+Schedules_Populated!K66</f>
        <v>2.6593248420160105</v>
      </c>
      <c r="D13" s="359">
        <f>Schedules_Populated!L61+Schedules_Populated!L66</f>
        <v>3.2797591533363319</v>
      </c>
      <c r="E13" s="359">
        <f>Schedules_Populated!M61+Schedules_Populated!M66</f>
        <v>3.916179819121425</v>
      </c>
      <c r="F13" s="360">
        <f>Schedules_Populated!N61+Schedules_Populated!N66</f>
        <v>4.3286860498234994</v>
      </c>
      <c r="G13" s="446"/>
      <c r="H13" s="446"/>
      <c r="I13" s="446"/>
      <c r="J13" s="446"/>
      <c r="K13" s="446"/>
      <c r="L13" s="446"/>
      <c r="M13" s="446"/>
      <c r="N13" s="446"/>
      <c r="O13" s="446"/>
      <c r="P13" s="446"/>
      <c r="Q13" s="446"/>
      <c r="R13" s="446"/>
      <c r="S13" s="446"/>
      <c r="T13" s="446"/>
      <c r="U13" s="446"/>
      <c r="V13" s="446"/>
      <c r="W13" s="446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  <c r="BF13" s="446"/>
      <c r="BG13" s="446"/>
      <c r="BH13" s="446"/>
      <c r="BI13" s="446"/>
      <c r="BJ13" s="446"/>
      <c r="BK13" s="446"/>
      <c r="BL13" s="446"/>
      <c r="BM13" s="446"/>
      <c r="BN13" s="446"/>
      <c r="BO13" s="446"/>
      <c r="BP13" s="446"/>
      <c r="BQ13" s="446"/>
      <c r="BR13" s="446"/>
      <c r="BS13" s="446"/>
      <c r="BT13" s="446"/>
      <c r="BU13" s="446"/>
      <c r="BV13" s="446"/>
      <c r="BW13" s="446"/>
      <c r="BX13" s="446"/>
      <c r="BY13" s="446"/>
      <c r="BZ13" s="446"/>
      <c r="CA13" s="446"/>
      <c r="CB13" s="446"/>
      <c r="CC13" s="446"/>
      <c r="CD13" s="446"/>
      <c r="CE13" s="446"/>
      <c r="CF13" s="446"/>
      <c r="CG13" s="446"/>
      <c r="CH13" s="446"/>
      <c r="CI13" s="446"/>
      <c r="CJ13" s="446"/>
      <c r="CK13" s="446"/>
      <c r="CL13" s="446"/>
      <c r="CM13" s="446"/>
      <c r="CN13" s="446"/>
      <c r="CO13" s="446"/>
      <c r="CP13" s="446"/>
      <c r="CQ13" s="446"/>
    </row>
    <row r="14" spans="1:95" s="301" customFormat="1">
      <c r="A14" s="358" t="s">
        <v>148</v>
      </c>
      <c r="B14" s="359">
        <f>-B3</f>
        <v>-208.4221303421381</v>
      </c>
      <c r="C14" s="359">
        <f t="shared" ref="C14:F14" si="2">-C3</f>
        <v>-208.00119655366024</v>
      </c>
      <c r="D14" s="359">
        <f t="shared" si="2"/>
        <v>-232.38795254177526</v>
      </c>
      <c r="E14" s="359">
        <f t="shared" si="2"/>
        <v>-242.84088468463722</v>
      </c>
      <c r="F14" s="360">
        <f t="shared" si="2"/>
        <v>-240.07668329808814</v>
      </c>
      <c r="G14" s="446"/>
      <c r="H14" s="446" t="s">
        <v>212</v>
      </c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  <c r="BF14" s="446"/>
      <c r="BG14" s="446"/>
      <c r="BH14" s="446"/>
      <c r="BI14" s="446"/>
      <c r="BJ14" s="446"/>
      <c r="BK14" s="446"/>
      <c r="BL14" s="446"/>
      <c r="BM14" s="446"/>
      <c r="BN14" s="446"/>
      <c r="BO14" s="446"/>
      <c r="BP14" s="446"/>
      <c r="BQ14" s="446"/>
      <c r="BR14" s="446"/>
      <c r="BS14" s="446"/>
      <c r="BT14" s="446"/>
      <c r="BU14" s="446"/>
      <c r="BV14" s="446"/>
      <c r="BW14" s="446"/>
      <c r="BX14" s="446"/>
      <c r="BY14" s="446"/>
      <c r="BZ14" s="446"/>
      <c r="CA14" s="446"/>
      <c r="CB14" s="446"/>
      <c r="CC14" s="446"/>
      <c r="CD14" s="446"/>
      <c r="CE14" s="446"/>
      <c r="CF14" s="446"/>
      <c r="CG14" s="446"/>
      <c r="CH14" s="446"/>
      <c r="CI14" s="446"/>
      <c r="CJ14" s="446"/>
      <c r="CK14" s="446"/>
      <c r="CL14" s="446"/>
      <c r="CM14" s="446"/>
      <c r="CN14" s="446"/>
      <c r="CO14" s="446"/>
      <c r="CP14" s="446"/>
      <c r="CQ14" s="446"/>
    </row>
    <row r="15" spans="1:95">
      <c r="A15" s="160" t="s">
        <v>149</v>
      </c>
      <c r="B15" s="161">
        <v>0</v>
      </c>
      <c r="C15" s="161">
        <v>0</v>
      </c>
      <c r="D15" s="161">
        <v>0</v>
      </c>
      <c r="E15" s="161">
        <v>0</v>
      </c>
      <c r="F15" s="162">
        <v>0</v>
      </c>
      <c r="H15" t="s">
        <v>212</v>
      </c>
    </row>
    <row r="16" spans="1:95">
      <c r="A16" s="288" t="s">
        <v>150</v>
      </c>
      <c r="B16" s="289">
        <f>SUM(B12:B15)</f>
        <v>-202.44399634881475</v>
      </c>
      <c r="C16" s="289">
        <f t="shared" ref="C16:F16" si="3">SUM(C12:C15)</f>
        <v>-205.34187171164422</v>
      </c>
      <c r="D16" s="289">
        <f t="shared" si="3"/>
        <v>-229.10819338843893</v>
      </c>
      <c r="E16" s="289">
        <f t="shared" si="3"/>
        <v>-238.92470486551579</v>
      </c>
      <c r="F16" s="290">
        <f t="shared" si="3"/>
        <v>-235.74799724826465</v>
      </c>
    </row>
    <row r="17" spans="1:8">
      <c r="A17" s="160"/>
      <c r="B17" s="161"/>
      <c r="C17" s="161"/>
      <c r="D17" s="161"/>
      <c r="E17" s="161"/>
      <c r="F17" s="162"/>
    </row>
    <row r="18" spans="1:8">
      <c r="A18" s="157" t="s">
        <v>151</v>
      </c>
      <c r="B18" s="158">
        <f>B6+B10+B16</f>
        <v>22155.648893621274</v>
      </c>
      <c r="C18" s="158">
        <f t="shared" ref="C18:F18" si="4">C6+C10+C16</f>
        <v>25914.462844745976</v>
      </c>
      <c r="D18" s="158">
        <f t="shared" si="4"/>
        <v>36343.487452116489</v>
      </c>
      <c r="E18" s="158">
        <f t="shared" si="4"/>
        <v>46767.227661027129</v>
      </c>
      <c r="F18" s="159">
        <f t="shared" si="4"/>
        <v>60141.481901169966</v>
      </c>
    </row>
    <row r="19" spans="1:8">
      <c r="A19" s="160" t="s">
        <v>152</v>
      </c>
      <c r="B19" s="161">
        <f>'Balance Sheet'!I24</f>
        <v>2660</v>
      </c>
      <c r="C19" s="161">
        <f>'Balance Sheet'!J24</f>
        <v>24815.648893621274</v>
      </c>
      <c r="D19" s="161">
        <f>'Balance Sheet'!K24</f>
        <v>50730.111738367254</v>
      </c>
      <c r="E19" s="161">
        <f>'Balance Sheet'!L24</f>
        <v>87073.599190483743</v>
      </c>
      <c r="F19" s="162">
        <f>'Balance Sheet'!M24</f>
        <v>133840.82685151088</v>
      </c>
      <c r="H19" t="s">
        <v>211</v>
      </c>
    </row>
    <row r="20" spans="1:8" ht="15" thickBot="1">
      <c r="A20" s="291" t="s">
        <v>153</v>
      </c>
      <c r="B20" s="292">
        <f>B18+B19</f>
        <v>24815.648893621274</v>
      </c>
      <c r="C20" s="292">
        <f t="shared" ref="C20:F20" si="5">C18+C19</f>
        <v>50730.111738367254</v>
      </c>
      <c r="D20" s="292">
        <f t="shared" si="5"/>
        <v>87073.599190483743</v>
      </c>
      <c r="E20" s="292">
        <f t="shared" si="5"/>
        <v>133840.82685151088</v>
      </c>
      <c r="F20" s="293">
        <f t="shared" si="5"/>
        <v>193982.30875268084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C149-8F87-4453-9CD3-D0150DD1B400}">
  <dimension ref="A1:AI136"/>
  <sheetViews>
    <sheetView showGridLines="0" zoomScale="90" zoomScaleNormal="90" workbookViewId="0">
      <selection activeCell="S19" sqref="S19"/>
    </sheetView>
  </sheetViews>
  <sheetFormatPr defaultRowHeight="14.5" outlineLevelCol="1"/>
  <cols>
    <col min="1" max="1" width="8.90625" style="323"/>
    <col min="2" max="2" width="43.90625" bestFit="1" customWidth="1"/>
    <col min="3" max="4" width="12.54296875" hidden="1" customWidth="1" outlineLevel="1"/>
    <col min="5" max="5" width="12.54296875" customWidth="1" collapsed="1"/>
    <col min="6" max="14" width="12.54296875" customWidth="1"/>
    <col min="16" max="16" width="21.453125" customWidth="1"/>
  </cols>
  <sheetData>
    <row r="1" spans="1:35" ht="15" thickBot="1">
      <c r="A1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1:35" ht="15" thickBot="1">
      <c r="A2"/>
      <c r="B2" s="78" t="s">
        <v>82</v>
      </c>
      <c r="C2" s="79" t="s">
        <v>45</v>
      </c>
      <c r="D2" s="79" t="s">
        <v>46</v>
      </c>
      <c r="E2" s="79" t="s">
        <v>47</v>
      </c>
      <c r="F2" s="79" t="s">
        <v>48</v>
      </c>
      <c r="G2" s="79" t="s">
        <v>49</v>
      </c>
      <c r="H2" s="79" t="s">
        <v>136</v>
      </c>
      <c r="I2" s="258" t="s">
        <v>206</v>
      </c>
      <c r="J2" s="79" t="s">
        <v>50</v>
      </c>
      <c r="K2" s="79" t="s">
        <v>51</v>
      </c>
      <c r="L2" s="79" t="s">
        <v>52</v>
      </c>
      <c r="M2" s="79" t="s">
        <v>135</v>
      </c>
      <c r="N2" s="80" t="s">
        <v>207</v>
      </c>
    </row>
    <row r="3" spans="1:35">
      <c r="A3"/>
      <c r="B3" s="81" t="s">
        <v>83</v>
      </c>
      <c r="C3" s="70"/>
      <c r="D3" s="70"/>
      <c r="E3" s="70"/>
      <c r="F3" s="70"/>
      <c r="G3" s="70"/>
      <c r="H3" s="70"/>
      <c r="I3" s="259"/>
      <c r="J3" s="70"/>
      <c r="K3" s="70"/>
      <c r="L3" s="70"/>
      <c r="M3" s="70"/>
      <c r="N3" s="71"/>
    </row>
    <row r="4" spans="1:35" ht="16.25" customHeight="1">
      <c r="A4"/>
      <c r="B4" s="28" t="s">
        <v>16</v>
      </c>
      <c r="C4" s="42"/>
      <c r="D4" s="42"/>
      <c r="E4" s="42"/>
      <c r="F4" s="42"/>
      <c r="G4" s="42"/>
      <c r="H4" s="42"/>
      <c r="I4" s="120"/>
      <c r="J4" s="42"/>
      <c r="K4" s="42"/>
      <c r="L4" s="42"/>
      <c r="M4" s="42"/>
      <c r="N4" s="43"/>
    </row>
    <row r="5" spans="1:35" s="333" customFormat="1">
      <c r="A5" s="446"/>
      <c r="B5" s="334" t="s">
        <v>17</v>
      </c>
      <c r="C5" s="141">
        <f>'Balance Sheet'!C22</f>
        <v>13862</v>
      </c>
      <c r="D5" s="141">
        <f>'Balance Sheet'!D22</f>
        <v>9815</v>
      </c>
      <c r="E5" s="141">
        <f>'Balance Sheet'!E22</f>
        <v>1219</v>
      </c>
      <c r="F5" s="141">
        <f>'Balance Sheet'!F22</f>
        <v>8416</v>
      </c>
      <c r="G5" s="141">
        <f>'Balance Sheet'!G22</f>
        <v>4100</v>
      </c>
      <c r="H5" s="141">
        <f>'Balance Sheet'!H22</f>
        <v>0</v>
      </c>
      <c r="I5" s="142">
        <f>'Balance Sheet'!I22</f>
        <v>3912</v>
      </c>
      <c r="J5" s="141">
        <f>J25*'Profit &amp; Loss Statement'!J$5/365</f>
        <v>4019.6355583598402</v>
      </c>
      <c r="K5" s="141">
        <f>K25*'Profit &amp; Loss Statement'!K$5/365</f>
        <v>3878.021843102556</v>
      </c>
      <c r="L5" s="141">
        <f>L25*'Profit &amp; Loss Statement'!L$5/365</f>
        <v>3552.1878829586362</v>
      </c>
      <c r="M5" s="141">
        <f>M25*'Profit &amp; Loss Statement'!M$5/365</f>
        <v>3813.3642302269395</v>
      </c>
      <c r="N5" s="143">
        <f>N25*'Profit &amp; Loss Statement'!N$5/365</f>
        <v>3842.7030883540551</v>
      </c>
      <c r="O5" s="446"/>
      <c r="P5" s="447" t="s">
        <v>246</v>
      </c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</row>
    <row r="6" spans="1:35">
      <c r="A6" s="446"/>
      <c r="B6" s="82" t="s">
        <v>18</v>
      </c>
      <c r="C6" s="42">
        <f>'Balance Sheet'!C23</f>
        <v>9437</v>
      </c>
      <c r="D6" s="42">
        <f>'Balance Sheet'!D23</f>
        <v>12927</v>
      </c>
      <c r="E6" s="42">
        <f>'Balance Sheet'!E23</f>
        <v>1978</v>
      </c>
      <c r="F6" s="42">
        <f>'Balance Sheet'!F23</f>
        <v>1280</v>
      </c>
      <c r="G6" s="42">
        <f>'Balance Sheet'!G23</f>
        <v>2034</v>
      </c>
      <c r="H6" s="42">
        <f>'Balance Sheet'!H23</f>
        <v>3285</v>
      </c>
      <c r="I6" s="120">
        <f>'Balance Sheet'!I23</f>
        <v>4597</v>
      </c>
      <c r="J6" s="42">
        <f>J26*'Profit &amp; Loss Statement'!J$5/365</f>
        <v>4076.26188452624</v>
      </c>
      <c r="K6" s="42">
        <f>K26*'Profit &amp; Loss Statement'!K$5/365</f>
        <v>4037.7645963120649</v>
      </c>
      <c r="L6" s="42">
        <f>L26*'Profit &amp; Loss Statement'!L$5/365</f>
        <v>4038.4392567890613</v>
      </c>
      <c r="M6" s="42">
        <f>M26*'Profit &amp; Loss Statement'!M$5/365</f>
        <v>4149.8720337908317</v>
      </c>
      <c r="N6" s="43">
        <f>N26*'Profit &amp; Loss Statement'!N$5/365</f>
        <v>4271.9012517606761</v>
      </c>
      <c r="O6" s="446"/>
      <c r="P6" s="446" t="s">
        <v>247</v>
      </c>
      <c r="Q6" s="446"/>
      <c r="R6" s="446"/>
      <c r="S6" s="446" t="s">
        <v>248</v>
      </c>
      <c r="T6" s="446"/>
      <c r="U6" s="446"/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</row>
    <row r="7" spans="1:35">
      <c r="A7" s="446"/>
      <c r="B7" s="82" t="s">
        <v>309</v>
      </c>
      <c r="C7" s="42">
        <f>'Balance Sheet'!C25</f>
        <v>273</v>
      </c>
      <c r="D7" s="42">
        <f>'Balance Sheet'!D25</f>
        <v>77</v>
      </c>
      <c r="E7" s="42">
        <f>'Balance Sheet'!E25</f>
        <v>17</v>
      </c>
      <c r="F7" s="42">
        <f>'Balance Sheet'!F25</f>
        <v>23</v>
      </c>
      <c r="G7" s="42">
        <f>'Balance Sheet'!G25</f>
        <v>30.5</v>
      </c>
      <c r="H7" s="42">
        <f>'Balance Sheet'!H25</f>
        <v>30</v>
      </c>
      <c r="I7" s="120">
        <f>'Balance Sheet'!I25</f>
        <v>33</v>
      </c>
      <c r="J7" s="42">
        <f>J27*'Profit &amp; Loss Statement'!J$5/365</f>
        <v>37.639331627511723</v>
      </c>
      <c r="K7" s="42">
        <f>K27*'Profit &amp; Loss Statement'!K$5/365</f>
        <v>38.574387703716646</v>
      </c>
      <c r="L7" s="42">
        <f>L27*'Profit &amp; Loss Statement'!L$5/365</f>
        <v>38.722962159332575</v>
      </c>
      <c r="M7" s="42">
        <f>M27*'Profit &amp; Loss Statement'!M$5/365</f>
        <v>38.272128072007717</v>
      </c>
      <c r="N7" s="43">
        <f>N27*'Profit &amp; Loss Statement'!N$5/365</f>
        <v>39.006149804119275</v>
      </c>
      <c r="O7" s="446"/>
      <c r="P7" s="446" t="s">
        <v>249</v>
      </c>
      <c r="Q7" s="446"/>
      <c r="R7" s="446"/>
      <c r="S7" s="446"/>
      <c r="T7" s="446"/>
      <c r="U7" s="446"/>
      <c r="V7" s="446"/>
      <c r="W7" s="446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</row>
    <row r="8" spans="1:35" s="333" customFormat="1">
      <c r="A8" s="446"/>
      <c r="B8" s="334" t="s">
        <v>310</v>
      </c>
      <c r="C8" s="141">
        <f>'Balance Sheet'!C26</f>
        <v>1141</v>
      </c>
      <c r="D8" s="141">
        <f>'Balance Sheet'!D26</f>
        <v>7091</v>
      </c>
      <c r="E8" s="141">
        <f>'Balance Sheet'!E26</f>
        <v>660</v>
      </c>
      <c r="F8" s="141">
        <f>'Balance Sheet'!F26</f>
        <v>1324</v>
      </c>
      <c r="G8" s="141">
        <f>'Balance Sheet'!G26</f>
        <v>2593</v>
      </c>
      <c r="H8" s="141">
        <f>'Balance Sheet'!H26</f>
        <v>2602</v>
      </c>
      <c r="I8" s="142">
        <f>'Balance Sheet'!I26</f>
        <v>3419</v>
      </c>
      <c r="J8" s="141">
        <f>J28*'Profit &amp; Loss Statement'!J$5/365</f>
        <v>3412.7870860490266</v>
      </c>
      <c r="K8" s="141">
        <f>K28*'Profit &amp; Loss Statement'!K$5/365</f>
        <v>3496.1631244585537</v>
      </c>
      <c r="L8" s="141">
        <f>L28*'Profit &amp; Loss Statement'!L$5/365</f>
        <v>3435.0408051770455</v>
      </c>
      <c r="M8" s="141">
        <f>M28*'Profit &amp; Loss Statement'!M$5/365</f>
        <v>3493.6731609301469</v>
      </c>
      <c r="N8" s="143">
        <f>N28*'Profit &amp; Loss Statement'!N$5/365</f>
        <v>3563.6517239569962</v>
      </c>
      <c r="O8" s="446"/>
      <c r="P8" s="446" t="s">
        <v>250</v>
      </c>
      <c r="Q8" s="446"/>
      <c r="R8" s="446"/>
      <c r="S8" s="446" t="s">
        <v>251</v>
      </c>
      <c r="T8" s="446"/>
      <c r="U8" s="446"/>
      <c r="V8" s="446"/>
      <c r="W8" s="446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</row>
    <row r="9" spans="1:35">
      <c r="A9"/>
      <c r="B9" s="28" t="s">
        <v>20</v>
      </c>
      <c r="C9" s="42">
        <f>'Balance Sheet'!C28</f>
        <v>1424</v>
      </c>
      <c r="D9" s="42">
        <f>'Balance Sheet'!D28</f>
        <v>862</v>
      </c>
      <c r="E9" s="42">
        <f>'Balance Sheet'!E28</f>
        <v>1325</v>
      </c>
      <c r="F9" s="42">
        <f>'Balance Sheet'!F28</f>
        <v>958</v>
      </c>
      <c r="G9" s="42">
        <f>'Balance Sheet'!G28</f>
        <v>1461</v>
      </c>
      <c r="H9" s="42">
        <f>'Balance Sheet'!H28</f>
        <v>1560</v>
      </c>
      <c r="I9" s="120">
        <f>'Balance Sheet'!I28</f>
        <v>2508</v>
      </c>
      <c r="J9" s="42">
        <f>J29*'Profit &amp; Loss Statement'!J$5/365</f>
        <v>2297.1213100359982</v>
      </c>
      <c r="K9" s="42">
        <f>K29*'Profit &amp; Loss Statement'!K$5/365</f>
        <v>2314.9106816110461</v>
      </c>
      <c r="L9" s="42">
        <f>L29*'Profit &amp; Loss Statement'!L$5/365</f>
        <v>2299.1559073027611</v>
      </c>
      <c r="M9" s="42">
        <f>M29*'Profit &amp; Loss Statement'!M$5/365</f>
        <v>2315.4248007687711</v>
      </c>
      <c r="N9" s="43">
        <f>N29*'Profit &amp; Loss Statement'!N$5/365</f>
        <v>2400.4880611781314</v>
      </c>
    </row>
    <row r="10" spans="1:35">
      <c r="A10"/>
      <c r="B10" s="41" t="s">
        <v>84</v>
      </c>
      <c r="C10" s="52">
        <f t="shared" ref="C10:N10" si="0">SUM(C5:C9)</f>
        <v>26137</v>
      </c>
      <c r="D10" s="52">
        <f t="shared" si="0"/>
        <v>30772</v>
      </c>
      <c r="E10" s="52">
        <f t="shared" si="0"/>
        <v>5199</v>
      </c>
      <c r="F10" s="52">
        <f t="shared" si="0"/>
        <v>12001</v>
      </c>
      <c r="G10" s="52">
        <f t="shared" si="0"/>
        <v>10218.5</v>
      </c>
      <c r="H10" s="52">
        <f t="shared" si="0"/>
        <v>7477</v>
      </c>
      <c r="I10" s="260">
        <f t="shared" si="0"/>
        <v>14469</v>
      </c>
      <c r="J10" s="52">
        <f t="shared" si="0"/>
        <v>13843.445170598616</v>
      </c>
      <c r="K10" s="52">
        <f t="shared" si="0"/>
        <v>13765.434633187939</v>
      </c>
      <c r="L10" s="52">
        <f t="shared" si="0"/>
        <v>13363.546814386835</v>
      </c>
      <c r="M10" s="52">
        <f t="shared" si="0"/>
        <v>13810.606353788697</v>
      </c>
      <c r="N10" s="53">
        <f t="shared" si="0"/>
        <v>14117.750275053979</v>
      </c>
    </row>
    <row r="11" spans="1:35">
      <c r="A11"/>
      <c r="B11" s="41" t="s">
        <v>37</v>
      </c>
      <c r="C11" s="42"/>
      <c r="D11" s="42"/>
      <c r="E11" s="42"/>
      <c r="F11" s="42"/>
      <c r="G11" s="42"/>
      <c r="H11" s="42"/>
      <c r="I11" s="120"/>
      <c r="J11" s="42"/>
      <c r="K11" s="42"/>
      <c r="L11" s="42"/>
      <c r="M11" s="42"/>
      <c r="N11" s="43"/>
    </row>
    <row r="12" spans="1:35">
      <c r="A12"/>
      <c r="B12" s="28" t="s">
        <v>305</v>
      </c>
      <c r="C12" s="42">
        <f>'Balance Sheet'!C48</f>
        <v>547</v>
      </c>
      <c r="D12" s="42">
        <f>'Balance Sheet'!D48</f>
        <v>1067</v>
      </c>
      <c r="E12" s="42">
        <f>'Balance Sheet'!E48</f>
        <v>7500</v>
      </c>
      <c r="F12" s="42">
        <f>'Balance Sheet'!F48</f>
        <v>10168</v>
      </c>
      <c r="G12" s="42">
        <f>'Balance Sheet'!G48</f>
        <v>9765</v>
      </c>
      <c r="H12" s="42">
        <f>'Balance Sheet'!H48</f>
        <v>13675</v>
      </c>
      <c r="I12" s="120">
        <f>'Balance Sheet'!I48</f>
        <v>16988</v>
      </c>
      <c r="J12" s="42">
        <f>J31*'Profit &amp; Loss Statement'!J$5/365</f>
        <v>17160.542893096772</v>
      </c>
      <c r="K12" s="42">
        <f>K31*'Profit &amp; Loss Statement'!K$5/365</f>
        <v>17436.854183238054</v>
      </c>
      <c r="L12" s="42">
        <f>L31*'Profit &amp; Loss Statement'!L$5/365</f>
        <v>17113.23379564155</v>
      </c>
      <c r="M12" s="42">
        <f>M31*'Profit &amp; Loss Statement'!M$5/365</f>
        <v>17385.059082780768</v>
      </c>
      <c r="N12" s="43">
        <f>N31*'Profit &amp; Loss Statement'!N$5/365</f>
        <v>17779.399795218331</v>
      </c>
      <c r="P12" t="s">
        <v>252</v>
      </c>
    </row>
    <row r="13" spans="1:35">
      <c r="A13"/>
      <c r="B13" s="84" t="s">
        <v>31</v>
      </c>
      <c r="C13" s="42"/>
      <c r="D13" s="42"/>
      <c r="E13" s="42"/>
      <c r="F13" s="42"/>
      <c r="G13" s="42"/>
      <c r="H13" s="42"/>
      <c r="I13" s="120"/>
      <c r="J13" s="42"/>
      <c r="K13" s="42"/>
      <c r="L13" s="42"/>
      <c r="M13" s="42"/>
      <c r="N13" s="43"/>
      <c r="P13" t="s">
        <v>251</v>
      </c>
    </row>
    <row r="14" spans="1:35">
      <c r="A14"/>
      <c r="B14" s="83" t="s">
        <v>32</v>
      </c>
      <c r="C14" s="23">
        <f>'Balance Sheet'!C50</f>
        <v>6855</v>
      </c>
      <c r="D14" s="23">
        <f>'Balance Sheet'!D50</f>
        <v>6012</v>
      </c>
      <c r="E14" s="23">
        <f>'Balance Sheet'!E50</f>
        <v>106</v>
      </c>
      <c r="F14" s="23">
        <f>'Balance Sheet'!F50</f>
        <v>489</v>
      </c>
      <c r="G14" s="23">
        <f>'Balance Sheet'!G50</f>
        <v>382</v>
      </c>
      <c r="H14" s="23">
        <f>'Balance Sheet'!H50</f>
        <v>1216</v>
      </c>
      <c r="I14" s="287">
        <f>'Balance Sheet'!I50</f>
        <v>33</v>
      </c>
      <c r="J14" s="23">
        <f>J43</f>
        <v>34.529008863819499</v>
      </c>
      <c r="K14" s="23">
        <f t="shared" ref="K14:N14" si="1">K43</f>
        <v>36.333241403039651</v>
      </c>
      <c r="L14" s="23">
        <f t="shared" si="1"/>
        <v>38.197803794199409</v>
      </c>
      <c r="M14" s="23">
        <f t="shared" si="1"/>
        <v>40.106565543960471</v>
      </c>
      <c r="N14" s="165">
        <f t="shared" si="1"/>
        <v>42.075898188978279</v>
      </c>
    </row>
    <row r="15" spans="1:35">
      <c r="A15"/>
      <c r="B15" s="83" t="s">
        <v>33</v>
      </c>
      <c r="C15" s="23">
        <f>'Balance Sheet'!C51</f>
        <v>1456</v>
      </c>
      <c r="D15" s="23">
        <f>'Balance Sheet'!D51</f>
        <v>1582</v>
      </c>
      <c r="E15" s="23">
        <f>'Balance Sheet'!E51</f>
        <v>10</v>
      </c>
      <c r="F15" s="23">
        <f>'Balance Sheet'!F51</f>
        <v>7.4</v>
      </c>
      <c r="G15" s="23">
        <f>'Balance Sheet'!G51</f>
        <v>8</v>
      </c>
      <c r="H15" s="23">
        <f>'Balance Sheet'!H51</f>
        <v>7</v>
      </c>
      <c r="I15" s="287">
        <f>'Balance Sheet'!I51</f>
        <v>18</v>
      </c>
      <c r="J15" s="23">
        <f>J47</f>
        <v>16.392857142857142</v>
      </c>
      <c r="K15" s="23">
        <f t="shared" ref="K15:N15" si="2">K47</f>
        <v>18.124299761620978</v>
      </c>
      <c r="L15" s="23">
        <f t="shared" si="2"/>
        <v>19.484728217124907</v>
      </c>
      <c r="M15" s="23">
        <f t="shared" si="2"/>
        <v>20.489774148242418</v>
      </c>
      <c r="N15" s="165">
        <f t="shared" si="2"/>
        <v>21.363242328401114</v>
      </c>
    </row>
    <row r="16" spans="1:35">
      <c r="A16"/>
      <c r="B16" s="82" t="s">
        <v>38</v>
      </c>
      <c r="C16" s="42">
        <f>'Balance Sheet'!C52</f>
        <v>2498</v>
      </c>
      <c r="D16" s="42">
        <f>'Balance Sheet'!D52</f>
        <v>2878</v>
      </c>
      <c r="E16" s="42">
        <f>'Balance Sheet'!E52</f>
        <v>0</v>
      </c>
      <c r="F16" s="42">
        <f>'Balance Sheet'!F52</f>
        <v>0</v>
      </c>
      <c r="G16" s="42">
        <f>'Balance Sheet'!G52</f>
        <v>0</v>
      </c>
      <c r="H16" s="42">
        <f>'Balance Sheet'!H52</f>
        <v>0</v>
      </c>
      <c r="I16" s="120">
        <f>'Balance Sheet'!I52</f>
        <v>0</v>
      </c>
      <c r="J16" s="42">
        <f>J35*'Profit &amp; Loss Statement'!J$5/365</f>
        <v>0</v>
      </c>
      <c r="K16" s="42">
        <f>K35*'Profit &amp; Loss Statement'!K$5/365</f>
        <v>0</v>
      </c>
      <c r="L16" s="42">
        <f>L35*'Profit &amp; Loss Statement'!L$5/365</f>
        <v>0</v>
      </c>
      <c r="M16" s="42">
        <f>M35*'Profit &amp; Loss Statement'!M$5/365</f>
        <v>0</v>
      </c>
      <c r="N16" s="43">
        <f>N35*'Profit &amp; Loss Statement'!N$5/365</f>
        <v>0</v>
      </c>
      <c r="P16" t="s">
        <v>332</v>
      </c>
    </row>
    <row r="17" spans="1:16">
      <c r="A17"/>
      <c r="B17" s="83" t="s">
        <v>39</v>
      </c>
      <c r="C17" s="42">
        <f>'Balance Sheet'!C53</f>
        <v>30008</v>
      </c>
      <c r="D17" s="42">
        <f>'Balance Sheet'!D53</f>
        <v>29930</v>
      </c>
      <c r="E17" s="42">
        <f>'Balance Sheet'!E53</f>
        <v>904</v>
      </c>
      <c r="F17" s="42">
        <f>'Balance Sheet'!F53</f>
        <v>1272</v>
      </c>
      <c r="G17" s="42">
        <f>'Balance Sheet'!G53</f>
        <v>2027</v>
      </c>
      <c r="H17" s="42">
        <f>'Balance Sheet'!H53</f>
        <v>2290</v>
      </c>
      <c r="I17" s="120">
        <f>'Balance Sheet'!I53</f>
        <v>2224</v>
      </c>
      <c r="J17" s="42">
        <f>J36*'Profit &amp; Loss Statement'!J$5/365</f>
        <v>2526.8571363217857</v>
      </c>
      <c r="K17" s="42">
        <f>K36*'Profit &amp; Loss Statement'!K$5/365</f>
        <v>2566.6115227264022</v>
      </c>
      <c r="L17" s="42">
        <f>L36*'Profit &amp; Loss Statement'!L$5/365</f>
        <v>2621.7014477747098</v>
      </c>
      <c r="M17" s="42">
        <f>M36*'Profit &amp; Loss Statement'!M$5/365</f>
        <v>2606.3594654561202</v>
      </c>
      <c r="N17" s="43">
        <f>N36*'Profit &amp; Loss Statement'!N$5/365</f>
        <v>2639.1373587470462</v>
      </c>
    </row>
    <row r="18" spans="1:16">
      <c r="A18"/>
      <c r="B18" s="28" t="s">
        <v>34</v>
      </c>
      <c r="C18" s="42">
        <f>'Balance Sheet'!C54</f>
        <v>820</v>
      </c>
      <c r="D18" s="42">
        <f>'Balance Sheet'!D54</f>
        <v>998</v>
      </c>
      <c r="E18" s="42">
        <f>'Balance Sheet'!E54</f>
        <v>681</v>
      </c>
      <c r="F18" s="42">
        <f>'Balance Sheet'!F54</f>
        <v>743</v>
      </c>
      <c r="G18" s="42">
        <f>'Balance Sheet'!G54</f>
        <v>861</v>
      </c>
      <c r="H18" s="42">
        <f>'Balance Sheet'!H54</f>
        <v>1083</v>
      </c>
      <c r="I18" s="120">
        <f>'Balance Sheet'!I54</f>
        <v>1312</v>
      </c>
      <c r="J18" s="42">
        <f>J37*'Profit &amp; Loss Statement'!J$5/365</f>
        <v>1363.6489425897585</v>
      </c>
      <c r="K18" s="42">
        <f>K37*'Profit &amp; Loss Statement'!K$5/365</f>
        <v>1374.0811251119965</v>
      </c>
      <c r="L18" s="42">
        <f>L37*'Profit &amp; Loss Statement'!L$5/365</f>
        <v>1364.9135863444164</v>
      </c>
      <c r="M18" s="42">
        <f>M37*'Profit &amp; Loss Statement'!M$5/365</f>
        <v>1375.6534084534571</v>
      </c>
      <c r="N18" s="43">
        <f>N37*'Profit &amp; Loss Statement'!N$5/365</f>
        <v>1406.7989627926986</v>
      </c>
      <c r="P18" t="s">
        <v>253</v>
      </c>
    </row>
    <row r="19" spans="1:16" ht="15" thickBot="1">
      <c r="A19"/>
      <c r="B19" s="85" t="s">
        <v>40</v>
      </c>
      <c r="C19" s="45">
        <f>'Balance Sheet'!C55</f>
        <v>671</v>
      </c>
      <c r="D19" s="45">
        <f>'Balance Sheet'!D55</f>
        <v>736</v>
      </c>
      <c r="E19" s="45">
        <f>'Balance Sheet'!E55</f>
        <v>1409</v>
      </c>
      <c r="F19" s="45">
        <f>'Balance Sheet'!F55</f>
        <v>2680</v>
      </c>
      <c r="G19" s="45">
        <f>'Balance Sheet'!G55</f>
        <v>2869</v>
      </c>
      <c r="H19" s="45">
        <f>'Balance Sheet'!H55</f>
        <v>3337</v>
      </c>
      <c r="I19" s="261">
        <f>'Balance Sheet'!I55</f>
        <v>4175</v>
      </c>
      <c r="J19" s="45">
        <f>J38*'Profit &amp; Loss Statement'!J$5/365</f>
        <v>4239.8478629963802</v>
      </c>
      <c r="K19" s="45">
        <f>K38*'Profit &amp; Loss Statement'!K$5/365</f>
        <v>4405.7618109629639</v>
      </c>
      <c r="L19" s="45">
        <f>L38*'Profit &amp; Loss Statement'!L$5/365</f>
        <v>4334.7185189486299</v>
      </c>
      <c r="M19" s="45">
        <f>M38*'Profit &amp; Loss Statement'!M$5/365</f>
        <v>4360.5591001261228</v>
      </c>
      <c r="N19" s="59">
        <f>N38*'Profit &amp; Loss Statement'!N$5/365</f>
        <v>4460.208335459095</v>
      </c>
      <c r="P19" t="s">
        <v>254</v>
      </c>
    </row>
    <row r="20" spans="1:16" ht="15" thickTop="1">
      <c r="A20"/>
      <c r="B20" s="32" t="s">
        <v>41</v>
      </c>
      <c r="C20" s="36">
        <f t="shared" ref="C20:N20" si="3">SUM(C12:C19)</f>
        <v>42855</v>
      </c>
      <c r="D20" s="36">
        <f t="shared" si="3"/>
        <v>43203</v>
      </c>
      <c r="E20" s="36">
        <f t="shared" si="3"/>
        <v>10610</v>
      </c>
      <c r="F20" s="36">
        <f t="shared" si="3"/>
        <v>15359.4</v>
      </c>
      <c r="G20" s="36">
        <f t="shared" si="3"/>
        <v>15912</v>
      </c>
      <c r="H20" s="36">
        <f t="shared" si="3"/>
        <v>21608</v>
      </c>
      <c r="I20" s="262">
        <f t="shared" si="3"/>
        <v>24750</v>
      </c>
      <c r="J20" s="36">
        <f t="shared" si="3"/>
        <v>25341.818701011376</v>
      </c>
      <c r="K20" s="36">
        <f t="shared" si="3"/>
        <v>25837.766183204076</v>
      </c>
      <c r="L20" s="36">
        <f t="shared" si="3"/>
        <v>25492.249880720632</v>
      </c>
      <c r="M20" s="36">
        <f t="shared" si="3"/>
        <v>25788.227396508672</v>
      </c>
      <c r="N20" s="86">
        <f t="shared" si="3"/>
        <v>26348.983592734545</v>
      </c>
      <c r="P20" t="s">
        <v>255</v>
      </c>
    </row>
    <row r="21" spans="1:16">
      <c r="A21"/>
      <c r="B21" s="87" t="s">
        <v>85</v>
      </c>
      <c r="C21" s="88">
        <f t="shared" ref="C21:N21" si="4">C10-C20</f>
        <v>-16718</v>
      </c>
      <c r="D21" s="88">
        <f t="shared" si="4"/>
        <v>-12431</v>
      </c>
      <c r="E21" s="88">
        <f>E10-E20</f>
        <v>-5411</v>
      </c>
      <c r="F21" s="88">
        <f t="shared" si="4"/>
        <v>-3358.3999999999996</v>
      </c>
      <c r="G21" s="88">
        <f t="shared" si="4"/>
        <v>-5693.5</v>
      </c>
      <c r="H21" s="88">
        <f t="shared" si="4"/>
        <v>-14131</v>
      </c>
      <c r="I21" s="263">
        <f t="shared" si="4"/>
        <v>-10281</v>
      </c>
      <c r="J21" s="88">
        <f t="shared" si="4"/>
        <v>-11498.37353041276</v>
      </c>
      <c r="K21" s="88">
        <f t="shared" si="4"/>
        <v>-12072.331550016137</v>
      </c>
      <c r="L21" s="88">
        <f t="shared" si="4"/>
        <v>-12128.703066333797</v>
      </c>
      <c r="M21" s="88">
        <f t="shared" si="4"/>
        <v>-11977.621042719975</v>
      </c>
      <c r="N21" s="89">
        <f t="shared" si="4"/>
        <v>-12231.233317680566</v>
      </c>
      <c r="P21" t="s">
        <v>333</v>
      </c>
    </row>
    <row r="22" spans="1:16" ht="15" thickBot="1">
      <c r="A22"/>
      <c r="B22" s="90" t="s">
        <v>86</v>
      </c>
      <c r="C22" s="91"/>
      <c r="D22" s="91">
        <f t="shared" ref="D22:N22" si="5">D21-C21</f>
        <v>4287</v>
      </c>
      <c r="E22" s="91">
        <f t="shared" si="5"/>
        <v>7020</v>
      </c>
      <c r="F22" s="91">
        <f>F21-E21</f>
        <v>2052.6000000000004</v>
      </c>
      <c r="G22" s="91">
        <f t="shared" si="5"/>
        <v>-2335.1000000000004</v>
      </c>
      <c r="H22" s="91">
        <f t="shared" si="5"/>
        <v>-8437.5</v>
      </c>
      <c r="I22" s="264">
        <f t="shared" si="5"/>
        <v>3850</v>
      </c>
      <c r="J22" s="91">
        <f t="shared" si="5"/>
        <v>-1217.3735304127604</v>
      </c>
      <c r="K22" s="91">
        <f t="shared" si="5"/>
        <v>-573.95801960337667</v>
      </c>
      <c r="L22" s="91">
        <f t="shared" si="5"/>
        <v>-56.37151631766028</v>
      </c>
      <c r="M22" s="91">
        <f t="shared" si="5"/>
        <v>151.08202361382246</v>
      </c>
      <c r="N22" s="92">
        <f t="shared" si="5"/>
        <v>-253.61227496059109</v>
      </c>
    </row>
    <row r="23" spans="1:16" ht="15" thickBot="1">
      <c r="A23" t="s">
        <v>213</v>
      </c>
      <c r="B23" s="26" t="s">
        <v>87</v>
      </c>
      <c r="C23" s="3" t="str">
        <f t="shared" ref="C23:N23" si="6">C2</f>
        <v>FY18</v>
      </c>
      <c r="D23" s="3" t="str">
        <f t="shared" si="6"/>
        <v>FY19</v>
      </c>
      <c r="E23" s="3" t="str">
        <f t="shared" si="6"/>
        <v>FY20</v>
      </c>
      <c r="F23" s="3" t="str">
        <f t="shared" si="6"/>
        <v>FY21</v>
      </c>
      <c r="G23" s="3" t="str">
        <f t="shared" si="6"/>
        <v>FY22</v>
      </c>
      <c r="H23" s="3" t="str">
        <f t="shared" si="6"/>
        <v>FY23</v>
      </c>
      <c r="I23" s="4" t="str">
        <f t="shared" si="6"/>
        <v>FY24</v>
      </c>
      <c r="J23" s="3" t="str">
        <f t="shared" si="6"/>
        <v>FY25E</v>
      </c>
      <c r="K23" s="3" t="str">
        <f t="shared" si="6"/>
        <v>FY26E</v>
      </c>
      <c r="L23" s="3" t="str">
        <f t="shared" si="6"/>
        <v>FY27E</v>
      </c>
      <c r="M23" s="3" t="str">
        <f t="shared" si="6"/>
        <v>FY28E</v>
      </c>
      <c r="N23" s="5" t="str">
        <f t="shared" si="6"/>
        <v>FY29E</v>
      </c>
      <c r="P23" s="149"/>
    </row>
    <row r="24" spans="1:16">
      <c r="A24"/>
      <c r="B24" s="93" t="s">
        <v>16</v>
      </c>
      <c r="C24" s="94"/>
      <c r="D24" s="94"/>
      <c r="E24" s="94"/>
      <c r="F24" s="94"/>
      <c r="G24" s="94"/>
      <c r="H24" s="94"/>
      <c r="I24" s="265"/>
      <c r="J24" s="94"/>
      <c r="K24" s="94"/>
      <c r="L24" s="94"/>
      <c r="M24" s="94"/>
      <c r="N24" s="95"/>
    </row>
    <row r="25" spans="1:16">
      <c r="A25"/>
      <c r="B25" s="249" t="s">
        <v>311</v>
      </c>
      <c r="C25" s="250">
        <f>C5*365/'Profit &amp; Loss Statement'!C$5</f>
        <v>108.20192040375527</v>
      </c>
      <c r="D25" s="250">
        <f>D5*365/'Profit &amp; Loss Statement'!D$5</f>
        <v>60.682888407073648</v>
      </c>
      <c r="E25" s="250">
        <f>E5*365/'Profit &amp; Loss Statement'!E$5</f>
        <v>5.880716362675126</v>
      </c>
      <c r="F25" s="250">
        <f>F5*365/'Profit &amp; Loss Statement'!F$5</f>
        <v>43.651452282157678</v>
      </c>
      <c r="G25" s="250">
        <f>G5*365/'Profit &amp; Loss Statement'!G$5</f>
        <v>16.942148760330578</v>
      </c>
      <c r="H25" s="250">
        <f>H5*365/'Profit &amp; Loss Statement'!H$5</f>
        <v>0</v>
      </c>
      <c r="I25" s="266">
        <f>I5*365/'Revenue Model'!I$3</f>
        <v>10.065558516262742</v>
      </c>
      <c r="J25" s="250">
        <f>I25*40%+H25*40%+G25*10%+F25*10%</f>
        <v>10.085583510753924</v>
      </c>
      <c r="K25" s="250">
        <f t="shared" ref="K25:N25" si="7">J25*40%+I25*40%+H25*10%+G25*10%</f>
        <v>9.7546716868397247</v>
      </c>
      <c r="L25" s="250">
        <f t="shared" si="7"/>
        <v>8.9426579306637333</v>
      </c>
      <c r="M25" s="250">
        <f t="shared" si="7"/>
        <v>9.4940460497030497</v>
      </c>
      <c r="N25" s="250">
        <f t="shared" si="7"/>
        <v>9.3587071119060763</v>
      </c>
    </row>
    <row r="26" spans="1:16">
      <c r="A26"/>
      <c r="B26" s="82" t="s">
        <v>18</v>
      </c>
      <c r="C26" s="96">
        <f>C6*365/'Profit &amp; Loss Statement'!C$5</f>
        <v>73.661919120634721</v>
      </c>
      <c r="D26" s="96">
        <f>D6*365/'Profit &amp; Loss Statement'!D$5</f>
        <v>79.923351853106581</v>
      </c>
      <c r="E26" s="96">
        <f>E6*365/'Profit &amp; Loss Statement'!E$5</f>
        <v>9.5422944752841659</v>
      </c>
      <c r="F26" s="96">
        <f>F6*365/'Profit &amp; Loss Statement'!F$5</f>
        <v>6.6390041493775938</v>
      </c>
      <c r="G26" s="96">
        <f>G6*365/'Profit &amp; Loss Statement'!G$5</f>
        <v>8.4049586776859506</v>
      </c>
      <c r="H26" s="96">
        <f>H6*365/'Profit &amp; Loss Statement'!H$5</f>
        <v>10.126045097542438</v>
      </c>
      <c r="I26" s="267">
        <f>I6*365/'Revenue Model'!I$3</f>
        <v>11.828060454821019</v>
      </c>
      <c r="J26" s="96">
        <f t="shared" ref="J26:N26" si="8">I26*40%+H26*30%+G26*10%+F26*10%+E26*10%</f>
        <v>10.227663441425909</v>
      </c>
      <c r="K26" s="96">
        <f t="shared" si="8"/>
        <v>10.156484305477267</v>
      </c>
      <c r="L26" s="96">
        <f t="shared" si="8"/>
        <v>10.16679917762362</v>
      </c>
      <c r="M26" s="96">
        <f t="shared" si="8"/>
        <v>10.331841862071563</v>
      </c>
      <c r="N26" s="97">
        <f t="shared" si="8"/>
        <v>10.40399731828813</v>
      </c>
    </row>
    <row r="27" spans="1:16">
      <c r="A27"/>
      <c r="B27" s="82" t="s">
        <v>309</v>
      </c>
      <c r="C27" s="96">
        <f>C7*365/'Profit &amp; Loss Statement'!C$5</f>
        <v>2.1309424520433695</v>
      </c>
      <c r="D27" s="96">
        <f>D7*365/'Profit &amp; Loss Statement'!D$5</f>
        <v>0.47606545158886104</v>
      </c>
      <c r="E27" s="96">
        <f>E7*365/'Profit &amp; Loss Statement'!E$5</f>
        <v>8.2011630980703146E-2</v>
      </c>
      <c r="F27" s="96">
        <f>F7*365/'Profit &amp; Loss Statement'!F$5</f>
        <v>0.11929460580912864</v>
      </c>
      <c r="G27" s="96">
        <f>G7*365/'Profit &amp; Loss Statement'!G$5</f>
        <v>0.12603305785123967</v>
      </c>
      <c r="H27" s="96">
        <f>H7*365/'Profit &amp; Loss Statement'!H$5</f>
        <v>9.247529769445148E-2</v>
      </c>
      <c r="I27" s="267">
        <f>I7*365/'Revenue Model'!I$3</f>
        <v>8.4908852514486322E-2</v>
      </c>
      <c r="J27" s="96">
        <f t="shared" ref="J27:N27" si="9">I27*40%+H27*30%+G27*10%+F27*10%+E27*10%</f>
        <v>9.444005977823712E-2</v>
      </c>
      <c r="K27" s="96">
        <f t="shared" si="9"/>
        <v>9.7028975801122727E-2</v>
      </c>
      <c r="L27" s="96">
        <f t="shared" si="9"/>
        <v>9.7485329059937981E-2</v>
      </c>
      <c r="M27" s="96">
        <f t="shared" si="9"/>
        <v>9.52852453630295E-2</v>
      </c>
      <c r="N27" s="97">
        <f t="shared" si="9"/>
        <v>9.4997485672577806E-2</v>
      </c>
    </row>
    <row r="28" spans="1:16">
      <c r="A28"/>
      <c r="B28" s="83" t="s">
        <v>310</v>
      </c>
      <c r="C28" s="250">
        <f>C8*365/'Profit &amp; Loss Statement'!C$5</f>
        <v>8.9062466585402369</v>
      </c>
      <c r="D28" s="250">
        <f>D8*365/'Profit &amp; Loss Statement'!D$5</f>
        <v>43.841300223592384</v>
      </c>
      <c r="E28" s="250">
        <f>E8*365/'Profit &amp; Loss Statement'!E$5</f>
        <v>3.1839809674861219</v>
      </c>
      <c r="F28" s="250">
        <f>F8*365/'Profit &amp; Loss Statement'!F$5</f>
        <v>6.8672199170124477</v>
      </c>
      <c r="G28" s="250">
        <f>G8*365/'Profit &amp; Loss Statement'!G$5</f>
        <v>10.714876033057852</v>
      </c>
      <c r="H28" s="250">
        <f>H8*365/'Profit &amp; Loss Statement'!H$5</f>
        <v>8.0206908200320921</v>
      </c>
      <c r="I28" s="266">
        <f>I8*365/'Revenue Model'!I$3</f>
        <v>8.7970717196069312</v>
      </c>
      <c r="J28" s="250">
        <f>I28*50%+H28*30%+G28*10%+F28*10%</f>
        <v>8.5629527008201229</v>
      </c>
      <c r="K28" s="250">
        <f t="shared" ref="K28:N28" si="10">J28*50%+I28*30%+H28*10%+G28*10%</f>
        <v>8.7941545516011352</v>
      </c>
      <c r="L28" s="250">
        <f t="shared" si="10"/>
        <v>8.6477393400105083</v>
      </c>
      <c r="M28" s="250">
        <f t="shared" si="10"/>
        <v>8.6981184775283005</v>
      </c>
      <c r="N28" s="251">
        <f t="shared" si="10"/>
        <v>8.6790917660094298</v>
      </c>
    </row>
    <row r="29" spans="1:16" ht="15" thickBot="1">
      <c r="A29"/>
      <c r="B29" s="98" t="s">
        <v>20</v>
      </c>
      <c r="C29" s="99">
        <f>C9*365/'Profit &amp; Loss Statement'!C$5</f>
        <v>11.115245610658455</v>
      </c>
      <c r="D29" s="99">
        <f>D9*365/'Profit &amp; Loss Statement'!D$5</f>
        <v>5.3294599905142626</v>
      </c>
      <c r="E29" s="99">
        <f>E9*365/'Profit &amp; Loss Statement'!E$5</f>
        <v>6.3920830029077456</v>
      </c>
      <c r="F29" s="99">
        <f>F9*365/'Profit &amp; Loss Statement'!F$5</f>
        <v>4.9688796680497926</v>
      </c>
      <c r="G29" s="99">
        <f>G9*365/'Profit &amp; Loss Statement'!G$5</f>
        <v>6.0371900826446279</v>
      </c>
      <c r="H29" s="99">
        <f>H9*365/'Profit &amp; Loss Statement'!H$5</f>
        <v>4.8087154801114771</v>
      </c>
      <c r="I29" s="268">
        <f>I9*365/'Revenue Model'!I$3</f>
        <v>6.4530727911009604</v>
      </c>
      <c r="J29" s="96">
        <f t="shared" ref="J29:N29" si="11">I29*40%+H29*30%+G29*10%+F29*10%+E29*10%</f>
        <v>5.7636590358340438</v>
      </c>
      <c r="K29" s="96">
        <f t="shared" si="11"/>
        <v>5.8228639747444957</v>
      </c>
      <c r="L29" s="96">
        <f t="shared" si="11"/>
        <v>5.788141136033718</v>
      </c>
      <c r="M29" s="96">
        <f t="shared" si="11"/>
        <v>5.7646603775414844</v>
      </c>
      <c r="N29" s="97">
        <f t="shared" si="11"/>
        <v>5.8462660719946591</v>
      </c>
    </row>
    <row r="30" spans="1:16" ht="15" thickBot="1">
      <c r="A30"/>
      <c r="B30" s="26" t="s">
        <v>88</v>
      </c>
      <c r="C30" s="3" t="str">
        <f>C23</f>
        <v>FY18</v>
      </c>
      <c r="D30" s="3" t="str">
        <f t="shared" ref="D30:L30" si="12">D23</f>
        <v>FY19</v>
      </c>
      <c r="E30" s="3" t="str">
        <f t="shared" si="12"/>
        <v>FY20</v>
      </c>
      <c r="F30" s="3" t="str">
        <f t="shared" si="12"/>
        <v>FY21</v>
      </c>
      <c r="G30" s="3" t="str">
        <f t="shared" si="12"/>
        <v>FY22</v>
      </c>
      <c r="H30" s="3" t="str">
        <f t="shared" si="12"/>
        <v>FY23</v>
      </c>
      <c r="I30" s="4" t="str">
        <f t="shared" si="12"/>
        <v>FY24</v>
      </c>
      <c r="J30" s="3" t="str">
        <f t="shared" si="12"/>
        <v>FY25E</v>
      </c>
      <c r="K30" s="3" t="str">
        <f t="shared" si="12"/>
        <v>FY26E</v>
      </c>
      <c r="L30" s="3" t="str">
        <f t="shared" si="12"/>
        <v>FY27E</v>
      </c>
      <c r="M30" s="3" t="str">
        <f>M23</f>
        <v>FY28E</v>
      </c>
      <c r="N30" s="5" t="str">
        <f>N23</f>
        <v>FY29E</v>
      </c>
    </row>
    <row r="31" spans="1:16">
      <c r="A31"/>
      <c r="B31" s="93" t="s">
        <v>305</v>
      </c>
      <c r="C31" s="96">
        <f>C12*365/'Profit &amp; Loss Statement'!C$5</f>
        <v>4.2696905540942236</v>
      </c>
      <c r="D31" s="96">
        <f>D12*365/'Profit &amp; Loss Statement'!D$5</f>
        <v>6.5969069720170745</v>
      </c>
      <c r="E31" s="96">
        <f>E12*365/'Profit &amp; Loss Statement'!E$5</f>
        <v>36.181601903251391</v>
      </c>
      <c r="F31" s="96">
        <f>F12*365/'Profit &amp; Loss Statement'!F$5</f>
        <v>52.738589211618255</v>
      </c>
      <c r="G31" s="96">
        <f>G12*365/'Profit &amp; Loss Statement'!G$5</f>
        <v>40.351239669421489</v>
      </c>
      <c r="H31" s="96">
        <f>H12*365/'Profit &amp; Loss Statement'!H$5</f>
        <v>42.153323199054135</v>
      </c>
      <c r="I31" s="267">
        <f>I12*365/'Profit &amp; Loss Statement'!I$5</f>
        <v>43.710048076245258</v>
      </c>
      <c r="J31" s="96">
        <f t="shared" ref="J31:N31" si="13">I31*40%+H31*30%+G31*10%+F31*10%+E31*10%</f>
        <v>43.05715926864346</v>
      </c>
      <c r="K31" s="96">
        <f t="shared" si="13"/>
        <v>43.860193338340352</v>
      </c>
      <c r="L31" s="96">
        <f t="shared" si="13"/>
        <v>43.08268621040127</v>
      </c>
      <c r="M31" s="96">
        <f t="shared" si="13"/>
        <v>43.283185540056898</v>
      </c>
      <c r="N31" s="97">
        <f t="shared" si="13"/>
        <v>43.300820147466041</v>
      </c>
    </row>
    <row r="32" spans="1:16">
      <c r="A32"/>
      <c r="B32" s="84" t="s">
        <v>31</v>
      </c>
      <c r="C32" s="96"/>
      <c r="D32" s="96"/>
      <c r="E32" s="96"/>
      <c r="F32" s="96"/>
      <c r="G32" s="96"/>
      <c r="H32" s="96"/>
      <c r="I32" s="267"/>
      <c r="J32" s="96"/>
      <c r="K32" s="96"/>
      <c r="L32" s="96"/>
      <c r="M32" s="96"/>
      <c r="N32" s="97"/>
    </row>
    <row r="33" spans="1:18">
      <c r="A33"/>
      <c r="B33" s="82" t="s">
        <v>32</v>
      </c>
      <c r="C33" s="96">
        <f>C14*365/'Profit &amp; Loss Statement'!C$5</f>
        <v>53.507730801308782</v>
      </c>
      <c r="D33" s="96">
        <f>D14*365/'Profit &amp; Loss Statement'!D$5</f>
        <v>37.170201233145875</v>
      </c>
      <c r="E33" s="96">
        <f>E14*365/'Profit &amp; Loss Statement'!E$5</f>
        <v>0.51136664023261957</v>
      </c>
      <c r="F33" s="96">
        <f>F14*365/'Profit &amp; Loss Statement'!F$5</f>
        <v>2.5363070539419086</v>
      </c>
      <c r="G33" s="96">
        <f>G14*365/'Profit &amp; Loss Statement'!G$5</f>
        <v>1.5785123966942149</v>
      </c>
      <c r="H33" s="96">
        <f>H14*365/'Profit &amp; Loss Statement'!H$5</f>
        <v>3.7483320665484334</v>
      </c>
      <c r="I33" s="267">
        <f>I14*365/'Profit &amp; Loss Statement'!I$5</f>
        <v>8.4908852514486322E-2</v>
      </c>
      <c r="J33" s="96">
        <f t="shared" ref="J33:N33" si="14">I33*40%+H33*30%+G33*10%+F33*10%+E33*10%</f>
        <v>1.6210817700571989</v>
      </c>
      <c r="K33" s="96">
        <f t="shared" si="14"/>
        <v>1.4602205154956813</v>
      </c>
      <c r="L33" s="96">
        <f t="shared" si="14"/>
        <v>1.6115880687911459</v>
      </c>
      <c r="M33" s="96">
        <f t="shared" si="14"/>
        <v>1.6281336510771747</v>
      </c>
      <c r="N33" s="97">
        <f t="shared" si="14"/>
        <v>1.4513509948749501</v>
      </c>
    </row>
    <row r="34" spans="1:18">
      <c r="A34"/>
      <c r="B34" s="82" t="s">
        <v>33</v>
      </c>
      <c r="C34" s="96">
        <f>C15*365/'Profit &amp; Loss Statement'!C$5</f>
        <v>11.36502641089797</v>
      </c>
      <c r="D34" s="96">
        <f>D15*365/'Profit &amp; Loss Statement'!D$5</f>
        <v>9.7809810962802359</v>
      </c>
      <c r="E34" s="96">
        <f>E15*365/'Profit &amp; Loss Statement'!E$5</f>
        <v>4.8242135871001852E-2</v>
      </c>
      <c r="F34" s="96">
        <f>F15*365/'Profit &amp; Loss Statement'!F$5</f>
        <v>3.8381742738589214E-2</v>
      </c>
      <c r="G34" s="96">
        <f>G15*365/'Profit &amp; Loss Statement'!G$5</f>
        <v>3.3057851239669422E-2</v>
      </c>
      <c r="H34" s="96">
        <f>H15*365/'Profit &amp; Loss Statement'!H$5</f>
        <v>2.1577569462038679E-2</v>
      </c>
      <c r="I34" s="267">
        <f>I15*365/'Profit &amp; Loss Statement'!I$5</f>
        <v>4.6313919553356175E-2</v>
      </c>
      <c r="J34" s="96">
        <f t="shared" ref="J34:N34" si="15">I34*40%+H34*30%+G34*10%+F34*10%+E34*10%</f>
        <v>3.6967011644880116E-2</v>
      </c>
      <c r="K34" s="96">
        <f t="shared" si="15"/>
        <v>3.7982696867988629E-2</v>
      </c>
      <c r="L34" s="96">
        <f t="shared" si="15"/>
        <v>3.6378116266165911E-2</v>
      </c>
      <c r="M34" s="96">
        <f t="shared" si="15"/>
        <v>3.6431905632890449E-2</v>
      </c>
      <c r="N34" s="97">
        <f t="shared" si="15"/>
        <v>3.7612559939628441E-2</v>
      </c>
    </row>
    <row r="35" spans="1:18">
      <c r="A35"/>
      <c r="B35" s="82" t="s">
        <v>38</v>
      </c>
      <c r="C35" s="96">
        <f>C16*365/'Profit &amp; Loss Statement'!C$5</f>
        <v>19.498513718697204</v>
      </c>
      <c r="D35" s="96">
        <f>D16*365/'Profit &amp; Loss Statement'!D$5</f>
        <v>17.793719086658989</v>
      </c>
      <c r="E35" s="96">
        <f>E16*365/'Profit &amp; Loss Statement'!E$5</f>
        <v>0</v>
      </c>
      <c r="F35" s="96">
        <f>F16*365/'Profit &amp; Loss Statement'!F$5</f>
        <v>0</v>
      </c>
      <c r="G35" s="96">
        <f>G16*365/'Profit &amp; Loss Statement'!G$5</f>
        <v>0</v>
      </c>
      <c r="H35" s="96">
        <f>H16*365/'Profit &amp; Loss Statement'!H$5</f>
        <v>0</v>
      </c>
      <c r="I35" s="267">
        <f>I16*365/'Profit &amp; Loss Statement'!I$5</f>
        <v>0</v>
      </c>
      <c r="J35" s="96">
        <f t="shared" ref="J35:N35" si="16">I35*40%+H35*30%+G35*10%+F35*10%+E35*10%</f>
        <v>0</v>
      </c>
      <c r="K35" s="96">
        <f t="shared" si="16"/>
        <v>0</v>
      </c>
      <c r="L35" s="96">
        <f t="shared" si="16"/>
        <v>0</v>
      </c>
      <c r="M35" s="96">
        <f t="shared" si="16"/>
        <v>0</v>
      </c>
      <c r="N35" s="97">
        <f t="shared" si="16"/>
        <v>0</v>
      </c>
    </row>
    <row r="36" spans="1:18">
      <c r="A36"/>
      <c r="B36" s="82" t="s">
        <v>39</v>
      </c>
      <c r="C36" s="96">
        <f>C17*365/'Profit &amp; Loss Statement'!C$5</f>
        <v>234.23194542460598</v>
      </c>
      <c r="D36" s="96">
        <f>D17*365/'Profit &amp; Loss Statement'!D$5</f>
        <v>185.04725929941054</v>
      </c>
      <c r="E36" s="96">
        <f>E17*365/'Profit &amp; Loss Statement'!E$5</f>
        <v>4.3610890827385669</v>
      </c>
      <c r="F36" s="96">
        <f>F17*365/'Profit &amp; Loss Statement'!F$5</f>
        <v>6.5975103734439831</v>
      </c>
      <c r="G36" s="96">
        <f>G17*365/'Profit &amp; Loss Statement'!G$5</f>
        <v>8.3760330578512399</v>
      </c>
      <c r="H36" s="96">
        <f>H17*365/'Profit &amp; Loss Statement'!H$5</f>
        <v>7.0589477240097969</v>
      </c>
      <c r="I36" s="267">
        <f>I17*365/'Profit &amp; Loss Statement'!I$5</f>
        <v>5.7223420603702291</v>
      </c>
      <c r="J36" s="96">
        <f t="shared" ref="J36:N36" si="17">I36*40%+H36*30%+G36*10%+F36*10%+E36*10%</f>
        <v>6.3400843927544104</v>
      </c>
      <c r="K36" s="96">
        <f t="shared" si="17"/>
        <v>6.4559854907433349</v>
      </c>
      <c r="L36" s="96">
        <f t="shared" si="17"/>
        <v>6.6001517983467837</v>
      </c>
      <c r="M36" s="96">
        <f t="shared" si="17"/>
        <v>6.4889937842751566</v>
      </c>
      <c r="N36" s="97">
        <f t="shared" si="17"/>
        <v>6.4274842476008951</v>
      </c>
    </row>
    <row r="37" spans="1:18">
      <c r="A37"/>
      <c r="B37" s="28" t="s">
        <v>34</v>
      </c>
      <c r="C37" s="96">
        <f>C18*365/'Profit &amp; Loss Statement'!C$5</f>
        <v>6.4006330061375936</v>
      </c>
      <c r="D37" s="96">
        <f>D18*365/'Profit &amp; Loss Statement'!D$5</f>
        <v>6.1703028660478356</v>
      </c>
      <c r="E37" s="96">
        <f>E18*365/'Profit &amp; Loss Statement'!E$5</f>
        <v>3.2852894528152259</v>
      </c>
      <c r="F37" s="96">
        <f>F18*365/'Profit &amp; Loss Statement'!F$5</f>
        <v>3.853734439834025</v>
      </c>
      <c r="G37" s="96">
        <f>G18*365/'Profit &amp; Loss Statement'!G$5</f>
        <v>3.5578512396694215</v>
      </c>
      <c r="H37" s="96">
        <f>H18*365/'Profit &amp; Loss Statement'!H$5</f>
        <v>3.3383582467696984</v>
      </c>
      <c r="I37" s="267">
        <f>I18*365/'Profit &amp; Loss Statement'!I$5</f>
        <v>3.3757701363335166</v>
      </c>
      <c r="J37" s="96">
        <f t="shared" ref="J37:N37" si="18">I37*40%+H37*30%+G37*10%+F37*10%+E37*10%</f>
        <v>3.4215030417961834</v>
      </c>
      <c r="K37" s="96">
        <f t="shared" si="18"/>
        <v>3.4563266502458427</v>
      </c>
      <c r="L37" s="96">
        <f t="shared" si="18"/>
        <v>3.4361795349144559</v>
      </c>
      <c r="M37" s="96">
        <f t="shared" si="18"/>
        <v>3.4249329515294757</v>
      </c>
      <c r="N37" s="97">
        <f t="shared" si="18"/>
        <v>3.4261870239236814</v>
      </c>
    </row>
    <row r="38" spans="1:18" ht="15" thickBot="1">
      <c r="A38"/>
      <c r="B38" s="98" t="s">
        <v>40</v>
      </c>
      <c r="C38" s="99">
        <f>C19*365/'Profit &amp; Loss Statement'!C$5</f>
        <v>5.237591155022348</v>
      </c>
      <c r="D38" s="99">
        <f>D19*365/'Profit &amp; Loss Statement'!D$5</f>
        <v>4.550443797005217</v>
      </c>
      <c r="E38" s="99">
        <f>E19*365/'Profit &amp; Loss Statement'!E$5</f>
        <v>6.7973169442241606</v>
      </c>
      <c r="F38" s="99">
        <f>F19*365/'Profit &amp; Loss Statement'!F$5</f>
        <v>13.900414937759336</v>
      </c>
      <c r="G38" s="99">
        <f>G19*365/'Profit &amp; Loss Statement'!G$5</f>
        <v>11.855371900826446</v>
      </c>
      <c r="H38" s="99">
        <f>H19*365/'Profit &amp; Loss Statement'!H$5</f>
        <v>10.286335613546154</v>
      </c>
      <c r="I38" s="268">
        <f>I19*365/'Profit &amp; Loss Statement'!I$5</f>
        <v>10.74225634084789</v>
      </c>
      <c r="J38" s="99">
        <f t="shared" ref="J38:N38" si="19">I38*40%+H38*30%+G38*10%+F38*10%+E38*10%</f>
        <v>10.638113598683997</v>
      </c>
      <c r="K38" s="99">
        <f t="shared" si="19"/>
        <v>11.08213458694116</v>
      </c>
      <c r="L38" s="99">
        <f t="shared" si="19"/>
        <v>10.912684299903713</v>
      </c>
      <c r="M38" s="99">
        <f t="shared" si="19"/>
        <v>10.856384651351638</v>
      </c>
      <c r="N38" s="100">
        <f t="shared" si="19"/>
        <v>10.862609603159074</v>
      </c>
    </row>
    <row r="39" spans="1:18">
      <c r="A39"/>
    </row>
    <row r="40" spans="1:18" ht="15" thickBot="1">
      <c r="A40"/>
    </row>
    <row r="41" spans="1:18" ht="15" thickBot="1">
      <c r="A41"/>
      <c r="B41" s="26" t="s">
        <v>89</v>
      </c>
      <c r="C41" s="3" t="str">
        <f>C30</f>
        <v>FY18</v>
      </c>
      <c r="D41" s="3" t="str">
        <f t="shared" ref="D41:L41" si="20">D30</f>
        <v>FY19</v>
      </c>
      <c r="E41" s="3" t="str">
        <f t="shared" si="20"/>
        <v>FY20</v>
      </c>
      <c r="F41" s="3" t="str">
        <f t="shared" si="20"/>
        <v>FY21</v>
      </c>
      <c r="G41" s="3" t="str">
        <f t="shared" si="20"/>
        <v>FY22</v>
      </c>
      <c r="H41" s="3" t="str">
        <f t="shared" si="20"/>
        <v>FY23</v>
      </c>
      <c r="I41" s="4" t="str">
        <f t="shared" si="20"/>
        <v>FY24</v>
      </c>
      <c r="J41" s="3" t="str">
        <f t="shared" si="20"/>
        <v>FY25E</v>
      </c>
      <c r="K41" s="3" t="str">
        <f t="shared" si="20"/>
        <v>FY26E</v>
      </c>
      <c r="L41" s="3" t="str">
        <f t="shared" si="20"/>
        <v>FY27E</v>
      </c>
      <c r="M41" s="3" t="str">
        <f>M30</f>
        <v>FY28E</v>
      </c>
      <c r="N41" s="5" t="str">
        <f>N30</f>
        <v>FY29E</v>
      </c>
    </row>
    <row r="42" spans="1:18" s="301" customFormat="1">
      <c r="A42" s="301" t="s">
        <v>211</v>
      </c>
      <c r="B42" s="361" t="s">
        <v>90</v>
      </c>
      <c r="C42" s="362">
        <f>'Balance Sheet'!C41</f>
        <v>1483</v>
      </c>
      <c r="D42" s="362">
        <f>'Balance Sheet'!D41</f>
        <v>850</v>
      </c>
      <c r="E42" s="362">
        <f>'Balance Sheet'!E41</f>
        <v>5</v>
      </c>
      <c r="F42" s="362">
        <f>'Balance Sheet'!F41</f>
        <v>2.8</v>
      </c>
      <c r="G42" s="362">
        <f>'Balance Sheet'!G41</f>
        <v>0</v>
      </c>
      <c r="H42" s="362">
        <f>'Balance Sheet'!H41</f>
        <v>0</v>
      </c>
      <c r="I42" s="363">
        <f>'Balance Sheet'!I41</f>
        <v>0</v>
      </c>
      <c r="J42" s="362">
        <f>AVERAGE(E42:I42)/AVERAGE(E$44:I$44)*J$44</f>
        <v>0.12099113618049959</v>
      </c>
      <c r="K42" s="362">
        <f t="shared" ref="K42:N42" si="21">AVERAGE(F42:J42)/AVERAGE(F$44:J$44)*K$44</f>
        <v>4.9258596960340684E-2</v>
      </c>
      <c r="L42" s="362">
        <f t="shared" si="21"/>
        <v>3.8212058005922056E-3</v>
      </c>
      <c r="M42" s="362">
        <f t="shared" si="21"/>
        <v>5.1407060395279236E-3</v>
      </c>
      <c r="N42" s="364">
        <f t="shared" si="21"/>
        <v>4.1393373521712191E-2</v>
      </c>
    </row>
    <row r="43" spans="1:18">
      <c r="A43" t="s">
        <v>211</v>
      </c>
      <c r="B43" s="49" t="s">
        <v>91</v>
      </c>
      <c r="C43" s="101">
        <f>'Balance Sheet'!C50</f>
        <v>6855</v>
      </c>
      <c r="D43" s="101">
        <f>'Balance Sheet'!D50</f>
        <v>6012</v>
      </c>
      <c r="E43" s="101">
        <f>'Balance Sheet'!E50</f>
        <v>106</v>
      </c>
      <c r="F43" s="101">
        <f>'Balance Sheet'!F50</f>
        <v>489</v>
      </c>
      <c r="G43" s="101">
        <f>'Balance Sheet'!G50</f>
        <v>382</v>
      </c>
      <c r="H43" s="101">
        <f>'Balance Sheet'!H50</f>
        <v>1216</v>
      </c>
      <c r="I43" s="269">
        <f>'Balance Sheet'!I50</f>
        <v>33</v>
      </c>
      <c r="J43" s="102">
        <f t="shared" ref="J43:N43" si="22">AVERAGE(E43:I43)/AVERAGE(E$44:I$44)*J$44</f>
        <v>34.529008863819499</v>
      </c>
      <c r="K43" s="102">
        <f t="shared" si="22"/>
        <v>36.333241403039651</v>
      </c>
      <c r="L43" s="102">
        <f t="shared" si="22"/>
        <v>38.197803794199409</v>
      </c>
      <c r="M43" s="102">
        <f t="shared" si="22"/>
        <v>40.106565543960471</v>
      </c>
      <c r="N43" s="103">
        <f t="shared" si="22"/>
        <v>42.075898188978279</v>
      </c>
      <c r="P43" t="s">
        <v>239</v>
      </c>
      <c r="Q43">
        <v>2</v>
      </c>
      <c r="R43" t="s">
        <v>334</v>
      </c>
    </row>
    <row r="44" spans="1:18">
      <c r="A44"/>
      <c r="B44" s="41" t="s">
        <v>92</v>
      </c>
      <c r="C44" s="104">
        <f t="shared" ref="C44:I44" si="23">SUM(C42:C43)</f>
        <v>8338</v>
      </c>
      <c r="D44" s="104">
        <f t="shared" si="23"/>
        <v>6862</v>
      </c>
      <c r="E44" s="104">
        <f t="shared" si="23"/>
        <v>111</v>
      </c>
      <c r="F44" s="104">
        <f t="shared" si="23"/>
        <v>491.8</v>
      </c>
      <c r="G44" s="104">
        <f t="shared" si="23"/>
        <v>382</v>
      </c>
      <c r="H44" s="104">
        <f t="shared" si="23"/>
        <v>1216</v>
      </c>
      <c r="I44" s="270">
        <f t="shared" si="23"/>
        <v>33</v>
      </c>
      <c r="J44" s="105">
        <f>I44+J60</f>
        <v>34.65</v>
      </c>
      <c r="K44" s="105">
        <f t="shared" ref="K44:N44" si="24">J44+K60</f>
        <v>36.3825</v>
      </c>
      <c r="L44" s="105">
        <f t="shared" si="24"/>
        <v>38.201625</v>
      </c>
      <c r="M44" s="105">
        <f t="shared" si="24"/>
        <v>40.111706249999997</v>
      </c>
      <c r="N44" s="106">
        <f t="shared" si="24"/>
        <v>42.1172915625</v>
      </c>
      <c r="P44" t="s">
        <v>95</v>
      </c>
      <c r="Q44">
        <v>2</v>
      </c>
      <c r="R44" t="s">
        <v>334</v>
      </c>
    </row>
    <row r="45" spans="1:18">
      <c r="A45"/>
      <c r="B45" s="41"/>
      <c r="C45" s="104"/>
      <c r="D45" s="104"/>
      <c r="E45" s="104"/>
      <c r="F45" s="104"/>
      <c r="G45" s="104"/>
      <c r="H45" s="104"/>
      <c r="I45" s="270"/>
      <c r="J45" s="102"/>
      <c r="K45" s="102"/>
      <c r="L45" s="102"/>
      <c r="M45" s="102"/>
      <c r="N45" s="103"/>
      <c r="P45" t="s">
        <v>240</v>
      </c>
      <c r="Q45">
        <v>1</v>
      </c>
      <c r="R45" t="s">
        <v>212</v>
      </c>
    </row>
    <row r="46" spans="1:18" s="301" customFormat="1">
      <c r="A46" s="301" t="s">
        <v>211</v>
      </c>
      <c r="B46" s="365" t="s">
        <v>93</v>
      </c>
      <c r="C46" s="366">
        <f>'Balance Sheet'!C42</f>
        <v>4314</v>
      </c>
      <c r="D46" s="366">
        <f>'Balance Sheet'!D42</f>
        <v>2964</v>
      </c>
      <c r="E46" s="366">
        <f>'Balance Sheet'!E42</f>
        <v>60</v>
      </c>
      <c r="F46" s="366">
        <f>'Balance Sheet'!F42</f>
        <v>39</v>
      </c>
      <c r="G46" s="366">
        <f>'Balance Sheet'!G42</f>
        <v>33</v>
      </c>
      <c r="H46" s="366">
        <f>'Balance Sheet'!H42</f>
        <v>25</v>
      </c>
      <c r="I46" s="367">
        <f>'Balance Sheet'!I42</f>
        <v>67</v>
      </c>
      <c r="J46" s="366">
        <f>AVERAGE(E46:I46)/AVERAGE(E$48:I$48)*J$48</f>
        <v>72.857142857142861</v>
      </c>
      <c r="K46" s="366">
        <f t="shared" ref="K46:N46" si="25">AVERAGE(F46:J46)/AVERAGE(F$48:J$48)*K$48</f>
        <v>75.588200238379031</v>
      </c>
      <c r="L46" s="366">
        <f t="shared" si="25"/>
        <v>78.913396782875111</v>
      </c>
      <c r="M46" s="366">
        <f t="shared" si="25"/>
        <v>82.8282571017576</v>
      </c>
      <c r="N46" s="368">
        <f t="shared" si="25"/>
        <v>87.120690484098915</v>
      </c>
    </row>
    <row r="47" spans="1:18">
      <c r="A47" t="s">
        <v>211</v>
      </c>
      <c r="B47" s="49" t="s">
        <v>94</v>
      </c>
      <c r="C47" s="101">
        <f>'Balance Sheet'!C51</f>
        <v>1456</v>
      </c>
      <c r="D47" s="101">
        <f>'Balance Sheet'!D51</f>
        <v>1582</v>
      </c>
      <c r="E47" s="101">
        <f>'Balance Sheet'!E51</f>
        <v>10</v>
      </c>
      <c r="F47" s="101">
        <f>'Balance Sheet'!F51</f>
        <v>7.4</v>
      </c>
      <c r="G47" s="101">
        <f>'Balance Sheet'!G51</f>
        <v>8</v>
      </c>
      <c r="H47" s="101">
        <f>'Balance Sheet'!H51</f>
        <v>7</v>
      </c>
      <c r="I47" s="269">
        <f>'Balance Sheet'!I51</f>
        <v>18</v>
      </c>
      <c r="J47" s="102">
        <f t="shared" ref="J47:N47" si="26">AVERAGE(E47:I47)/AVERAGE(E$48:I$48)*J$48</f>
        <v>16.392857142857142</v>
      </c>
      <c r="K47" s="102">
        <f t="shared" si="26"/>
        <v>18.124299761620978</v>
      </c>
      <c r="L47" s="102">
        <f t="shared" si="26"/>
        <v>19.484728217124907</v>
      </c>
      <c r="M47" s="102">
        <f t="shared" si="26"/>
        <v>20.489774148242418</v>
      </c>
      <c r="N47" s="103">
        <f t="shared" si="26"/>
        <v>21.363242328401114</v>
      </c>
    </row>
    <row r="48" spans="1:18">
      <c r="A48"/>
      <c r="B48" s="41" t="s">
        <v>95</v>
      </c>
      <c r="C48" s="104">
        <f t="shared" ref="C48:I48" si="27">SUM(C46:C47)</f>
        <v>5770</v>
      </c>
      <c r="D48" s="104">
        <f t="shared" si="27"/>
        <v>4546</v>
      </c>
      <c r="E48" s="104">
        <f t="shared" si="27"/>
        <v>70</v>
      </c>
      <c r="F48" s="104">
        <f t="shared" si="27"/>
        <v>46.4</v>
      </c>
      <c r="G48" s="104">
        <f t="shared" si="27"/>
        <v>41</v>
      </c>
      <c r="H48" s="104">
        <f t="shared" si="27"/>
        <v>32</v>
      </c>
      <c r="I48" s="270">
        <f t="shared" si="27"/>
        <v>85</v>
      </c>
      <c r="J48" s="104">
        <f>I48+J65</f>
        <v>89.25</v>
      </c>
      <c r="K48" s="104">
        <f t="shared" ref="K48:N48" si="28">J48+K65</f>
        <v>93.712500000000006</v>
      </c>
      <c r="L48" s="104">
        <f t="shared" si="28"/>
        <v>98.398125000000007</v>
      </c>
      <c r="M48" s="104">
        <f t="shared" si="28"/>
        <v>103.31803125</v>
      </c>
      <c r="N48" s="107">
        <f t="shared" si="28"/>
        <v>108.4839328125</v>
      </c>
    </row>
    <row r="49" spans="1:16">
      <c r="A49"/>
      <c r="B49" s="49"/>
      <c r="I49" s="272"/>
      <c r="N49" s="37"/>
      <c r="P49" t="s">
        <v>244</v>
      </c>
    </row>
    <row r="50" spans="1:16">
      <c r="A50"/>
      <c r="B50" s="108" t="s">
        <v>96</v>
      </c>
      <c r="C50" s="102"/>
      <c r="D50" s="102">
        <v>576</v>
      </c>
      <c r="E50" s="102">
        <v>34</v>
      </c>
      <c r="F50" s="102">
        <v>25</v>
      </c>
      <c r="G50" s="102">
        <v>12</v>
      </c>
      <c r="H50" s="102">
        <v>32.5</v>
      </c>
      <c r="I50" s="271">
        <v>35</v>
      </c>
      <c r="J50" s="102">
        <f>J55*AVERAGE(I44:J44)</f>
        <v>1.895716573258607</v>
      </c>
      <c r="K50" s="102">
        <f t="shared" ref="K50:N50" si="29">K55*AVERAGE(J44:K44)</f>
        <v>1.9905024019215372</v>
      </c>
      <c r="L50" s="102">
        <f t="shared" si="29"/>
        <v>2.0900275220176141</v>
      </c>
      <c r="M50" s="102">
        <f t="shared" si="29"/>
        <v>2.1945288981184952</v>
      </c>
      <c r="N50" s="103">
        <f t="shared" si="29"/>
        <v>2.3042553430244195</v>
      </c>
    </row>
    <row r="51" spans="1:16">
      <c r="A51"/>
      <c r="B51" s="108" t="s">
        <v>97</v>
      </c>
      <c r="C51" s="102"/>
      <c r="D51" s="102">
        <v>549</v>
      </c>
      <c r="E51" s="102">
        <v>48</v>
      </c>
      <c r="F51" s="102">
        <v>59</v>
      </c>
      <c r="G51" s="102">
        <v>58</v>
      </c>
      <c r="H51" s="102">
        <v>65</v>
      </c>
      <c r="I51" s="271">
        <v>75</v>
      </c>
      <c r="J51" s="102">
        <f>J56*AVERAGE(I48:J48)</f>
        <v>133.42641376887951</v>
      </c>
      <c r="K51" s="102">
        <f t="shared" ref="K51:N51" si="30">K56*AVERAGE(J48:K48)</f>
        <v>128.69069415173868</v>
      </c>
      <c r="L51" s="102">
        <f t="shared" si="30"/>
        <v>141.11392501975766</v>
      </c>
      <c r="M51" s="102">
        <f t="shared" si="30"/>
        <v>145.02555578651871</v>
      </c>
      <c r="N51" s="103">
        <f t="shared" si="30"/>
        <v>153.92746795506372</v>
      </c>
      <c r="P51" t="s">
        <v>245</v>
      </c>
    </row>
    <row r="52" spans="1:16">
      <c r="A52"/>
      <c r="B52" s="108" t="s">
        <v>98</v>
      </c>
      <c r="C52" s="102"/>
      <c r="D52" s="102">
        <v>469</v>
      </c>
      <c r="E52" s="102">
        <v>52</v>
      </c>
      <c r="F52" s="102">
        <v>18</v>
      </c>
      <c r="G52" s="102">
        <v>57</v>
      </c>
      <c r="H52" s="102">
        <v>154.5</v>
      </c>
      <c r="I52" s="271">
        <v>84</v>
      </c>
      <c r="J52" s="102">
        <f>AVERAGE(E52:I52)</f>
        <v>73.099999999999994</v>
      </c>
      <c r="K52" s="102">
        <f t="shared" ref="K52:N52" si="31">AVERAGE(F52:J52)</f>
        <v>77.320000000000007</v>
      </c>
      <c r="L52" s="102">
        <f t="shared" si="31"/>
        <v>89.183999999999997</v>
      </c>
      <c r="M52" s="102">
        <f t="shared" si="31"/>
        <v>95.620800000000003</v>
      </c>
      <c r="N52" s="103">
        <f t="shared" si="31"/>
        <v>83.844960000000015</v>
      </c>
      <c r="P52" s="25" t="s">
        <v>242</v>
      </c>
    </row>
    <row r="53" spans="1:16">
      <c r="A53" t="s">
        <v>212</v>
      </c>
      <c r="B53" s="109" t="s">
        <v>99</v>
      </c>
      <c r="C53" s="105"/>
      <c r="D53" s="105">
        <f t="shared" ref="D53:I53" si="32">SUM(D50:D52)</f>
        <v>1594</v>
      </c>
      <c r="E53" s="105">
        <f t="shared" si="32"/>
        <v>134</v>
      </c>
      <c r="F53" s="105">
        <f t="shared" si="32"/>
        <v>102</v>
      </c>
      <c r="G53" s="105">
        <f t="shared" si="32"/>
        <v>127</v>
      </c>
      <c r="H53" s="105">
        <f t="shared" si="32"/>
        <v>252</v>
      </c>
      <c r="I53" s="273">
        <f t="shared" si="32"/>
        <v>194</v>
      </c>
      <c r="J53" s="105">
        <f>SUM(J50:J52)</f>
        <v>208.4221303421381</v>
      </c>
      <c r="K53" s="105">
        <f t="shared" ref="K53:N53" si="33">SUM(K50:K52)</f>
        <v>208.00119655366024</v>
      </c>
      <c r="L53" s="105">
        <f t="shared" si="33"/>
        <v>232.38795254177526</v>
      </c>
      <c r="M53" s="105">
        <f t="shared" si="33"/>
        <v>242.84088468463722</v>
      </c>
      <c r="N53" s="106">
        <f t="shared" si="33"/>
        <v>240.07668329808814</v>
      </c>
      <c r="P53" t="s">
        <v>335</v>
      </c>
    </row>
    <row r="54" spans="1:16">
      <c r="A54"/>
      <c r="B54" s="82"/>
      <c r="C54" s="96"/>
      <c r="D54" s="96"/>
      <c r="E54" s="96"/>
      <c r="F54" s="96"/>
      <c r="G54" s="96"/>
      <c r="H54" s="96"/>
      <c r="I54" s="267"/>
      <c r="J54" s="96"/>
      <c r="K54" s="96"/>
      <c r="L54" s="96"/>
      <c r="M54" s="96"/>
      <c r="N54" s="97"/>
      <c r="P54" t="s">
        <v>241</v>
      </c>
    </row>
    <row r="55" spans="1:16">
      <c r="A55"/>
      <c r="B55" s="84" t="s">
        <v>100</v>
      </c>
      <c r="C55" s="50"/>
      <c r="D55" s="50">
        <f>D50/C44</f>
        <v>6.9081314463900215E-2</v>
      </c>
      <c r="E55" s="50">
        <f>E50/AVERAGE(D44:E44)</f>
        <v>9.7519001864333852E-3</v>
      </c>
      <c r="F55" s="50">
        <f>F50/AVERAGE(E44:F44)</f>
        <v>8.2946250829462512E-2</v>
      </c>
      <c r="G55" s="50">
        <f>G50/AVERAGE(F44:G44)</f>
        <v>2.7466239414053562E-2</v>
      </c>
      <c r="H55" s="50">
        <f>H50/AVERAGE(G44:H44)</f>
        <v>4.0675844806007506E-2</v>
      </c>
      <c r="I55" s="274">
        <f>I50/AVERAGE(H44:I44)</f>
        <v>5.6044835868694957E-2</v>
      </c>
      <c r="J55" s="50">
        <f>AVERAGE(I55)</f>
        <v>5.6044835868694957E-2</v>
      </c>
      <c r="K55" s="50">
        <f t="shared" ref="K55:N56" si="34">AVERAGE(I55:J55)</f>
        <v>5.6044835868694957E-2</v>
      </c>
      <c r="L55" s="50">
        <f t="shared" si="34"/>
        <v>5.6044835868694957E-2</v>
      </c>
      <c r="M55" s="50">
        <f t="shared" si="34"/>
        <v>5.6044835868694957E-2</v>
      </c>
      <c r="N55" s="51">
        <f t="shared" si="34"/>
        <v>5.6044835868694957E-2</v>
      </c>
      <c r="P55" t="s">
        <v>243</v>
      </c>
    </row>
    <row r="56" spans="1:16">
      <c r="A56"/>
      <c r="B56" s="84" t="s">
        <v>101</v>
      </c>
      <c r="C56" s="50"/>
      <c r="D56" s="50">
        <f>D51/C48</f>
        <v>9.5147313691507793E-2</v>
      </c>
      <c r="E56" s="50">
        <f>E51/AVERAGE(D48:E48)</f>
        <v>2.0797227036395149E-2</v>
      </c>
      <c r="F56" s="50">
        <f>F51/AVERAGE(E48:F48)</f>
        <v>1.0137457044673539</v>
      </c>
      <c r="G56" s="50">
        <f>G51/AVERAGE(F48:G48)</f>
        <v>1.3272311212814645</v>
      </c>
      <c r="H56" s="50">
        <f>H51/AVERAGE(G48:H48)</f>
        <v>1.7808219178082192</v>
      </c>
      <c r="I56" s="274">
        <f>I51/AVERAGE(H48:I48)</f>
        <v>1.2820512820512822</v>
      </c>
      <c r="J56" s="50">
        <f>AVERAGE(H56:I56)</f>
        <v>1.5314365999297506</v>
      </c>
      <c r="K56" s="50">
        <f t="shared" si="34"/>
        <v>1.4067439409905163</v>
      </c>
      <c r="L56" s="50">
        <f t="shared" si="34"/>
        <v>1.4690902704601334</v>
      </c>
      <c r="M56" s="50">
        <f t="shared" si="34"/>
        <v>1.4379171057253248</v>
      </c>
      <c r="N56" s="50">
        <f t="shared" si="34"/>
        <v>1.453503688092729</v>
      </c>
    </row>
    <row r="57" spans="1:16">
      <c r="A57"/>
      <c r="B57" s="84" t="s">
        <v>102</v>
      </c>
      <c r="C57" s="50"/>
      <c r="D57" s="50"/>
      <c r="E57" s="50"/>
      <c r="F57" s="50"/>
      <c r="G57" s="50"/>
      <c r="H57" s="50"/>
      <c r="I57" s="274"/>
      <c r="J57" s="96"/>
      <c r="K57" s="96"/>
      <c r="L57" s="96"/>
      <c r="M57" s="96"/>
      <c r="N57" s="97"/>
    </row>
    <row r="58" spans="1:16">
      <c r="A58"/>
      <c r="B58" s="84" t="s">
        <v>103</v>
      </c>
      <c r="C58" s="110"/>
      <c r="D58" s="110"/>
      <c r="E58" s="110"/>
      <c r="F58" s="110"/>
      <c r="G58" s="110"/>
      <c r="H58" s="110"/>
      <c r="I58" s="303">
        <v>0.1</v>
      </c>
      <c r="J58" s="102"/>
      <c r="K58" s="102"/>
      <c r="L58" s="102"/>
      <c r="M58" s="102"/>
      <c r="N58" s="103"/>
    </row>
    <row r="59" spans="1:16">
      <c r="A59"/>
      <c r="B59" s="84" t="s">
        <v>104</v>
      </c>
      <c r="C59" s="110"/>
      <c r="D59" s="110"/>
      <c r="E59" s="110"/>
      <c r="F59" s="110"/>
      <c r="G59" s="110"/>
      <c r="H59" s="110"/>
      <c r="I59" s="303">
        <v>0.05</v>
      </c>
      <c r="J59" s="102"/>
      <c r="K59" s="102"/>
      <c r="L59" s="102"/>
      <c r="M59" s="102"/>
      <c r="N59" s="103"/>
    </row>
    <row r="60" spans="1:16">
      <c r="A60"/>
      <c r="B60" s="84" t="s">
        <v>105</v>
      </c>
      <c r="C60" s="110"/>
      <c r="D60" s="110"/>
      <c r="E60" s="110"/>
      <c r="F60" s="110"/>
      <c r="G60" s="110"/>
      <c r="H60" s="110"/>
      <c r="I60" s="303">
        <f>I58-I59</f>
        <v>0.05</v>
      </c>
      <c r="J60" s="102">
        <f>I44*5%</f>
        <v>1.6500000000000001</v>
      </c>
      <c r="K60" s="102">
        <f t="shared" ref="K60:N60" si="35">J44*5%</f>
        <v>1.7324999999999999</v>
      </c>
      <c r="L60" s="102">
        <f t="shared" si="35"/>
        <v>1.8191250000000001</v>
      </c>
      <c r="M60" s="102">
        <f t="shared" si="35"/>
        <v>1.9100812500000002</v>
      </c>
      <c r="N60" s="103">
        <f t="shared" si="35"/>
        <v>2.0055853125000001</v>
      </c>
    </row>
    <row r="61" spans="1:16">
      <c r="A61"/>
      <c r="B61" s="84" t="s">
        <v>106</v>
      </c>
      <c r="C61" s="110"/>
      <c r="D61" s="110"/>
      <c r="E61" s="110"/>
      <c r="F61" s="110"/>
      <c r="G61" s="110"/>
      <c r="H61" s="110"/>
      <c r="I61" s="275"/>
      <c r="J61" s="102">
        <f>J42-I42</f>
        <v>0.12099113618049959</v>
      </c>
      <c r="K61" s="102">
        <f t="shared" ref="K61:N61" si="36">K42-J42</f>
        <v>-7.1732539220158903E-2</v>
      </c>
      <c r="L61" s="102">
        <f t="shared" si="36"/>
        <v>-4.5437391159748479E-2</v>
      </c>
      <c r="M61" s="102">
        <f t="shared" si="36"/>
        <v>1.3195002389357179E-3</v>
      </c>
      <c r="N61" s="103">
        <f t="shared" si="36"/>
        <v>3.6252667482184267E-2</v>
      </c>
    </row>
    <row r="62" spans="1:16">
      <c r="A62"/>
      <c r="B62" s="84"/>
      <c r="C62" s="110"/>
      <c r="D62" s="110"/>
      <c r="E62" s="110"/>
      <c r="F62" s="110"/>
      <c r="G62" s="110"/>
      <c r="H62" s="110"/>
      <c r="I62" s="275"/>
      <c r="J62" s="96"/>
      <c r="K62" s="96"/>
      <c r="L62" s="96"/>
      <c r="M62" s="96"/>
      <c r="N62" s="97"/>
    </row>
    <row r="63" spans="1:16">
      <c r="A63"/>
      <c r="B63" s="84" t="s">
        <v>107</v>
      </c>
      <c r="C63" s="110"/>
      <c r="D63" s="110"/>
      <c r="E63" s="110"/>
      <c r="F63" s="110"/>
      <c r="G63" s="110"/>
      <c r="H63" s="110"/>
      <c r="I63" s="275"/>
      <c r="J63" s="102"/>
      <c r="K63" s="102"/>
      <c r="L63" s="102"/>
      <c r="M63" s="102"/>
      <c r="N63" s="103"/>
    </row>
    <row r="64" spans="1:16">
      <c r="A64"/>
      <c r="B64" s="84" t="s">
        <v>108</v>
      </c>
      <c r="C64" s="110"/>
      <c r="D64" s="110"/>
      <c r="E64" s="110"/>
      <c r="F64" s="110"/>
      <c r="G64" s="110"/>
      <c r="H64" s="110"/>
      <c r="I64" s="275"/>
      <c r="J64" s="102"/>
      <c r="K64" s="102"/>
      <c r="L64" s="102"/>
      <c r="M64" s="102"/>
      <c r="N64" s="103"/>
    </row>
    <row r="65" spans="1:16">
      <c r="A65"/>
      <c r="B65" s="49" t="s">
        <v>109</v>
      </c>
      <c r="C65" s="110"/>
      <c r="D65" s="110"/>
      <c r="E65" s="110"/>
      <c r="F65" s="110"/>
      <c r="G65" s="110"/>
      <c r="H65" s="110"/>
      <c r="I65" s="275"/>
      <c r="J65" s="102">
        <f>I48*5%</f>
        <v>4.25</v>
      </c>
      <c r="K65" s="102">
        <f t="shared" ref="K65:N65" si="37">J48*5%</f>
        <v>4.4625000000000004</v>
      </c>
      <c r="L65" s="102">
        <f t="shared" si="37"/>
        <v>4.6856250000000008</v>
      </c>
      <c r="M65" s="102">
        <f t="shared" si="37"/>
        <v>4.9199062500000004</v>
      </c>
      <c r="N65" s="103">
        <f t="shared" si="37"/>
        <v>5.1659015625000002</v>
      </c>
    </row>
    <row r="66" spans="1:16" ht="15" thickBot="1">
      <c r="A66"/>
      <c r="B66" s="111" t="s">
        <v>110</v>
      </c>
      <c r="C66" s="112"/>
      <c r="D66" s="112"/>
      <c r="E66" s="112"/>
      <c r="F66" s="112"/>
      <c r="G66" s="112"/>
      <c r="H66" s="112"/>
      <c r="I66" s="276"/>
      <c r="J66" s="113">
        <f>J46-I46</f>
        <v>5.8571428571428612</v>
      </c>
      <c r="K66" s="113">
        <f t="shared" ref="K66:N66" si="38">K46-J46</f>
        <v>2.7310573812361696</v>
      </c>
      <c r="L66" s="113">
        <f t="shared" si="38"/>
        <v>3.3251965444960803</v>
      </c>
      <c r="M66" s="113">
        <f t="shared" si="38"/>
        <v>3.9148603188824893</v>
      </c>
      <c r="N66" s="114">
        <f t="shared" si="38"/>
        <v>4.292433382341315</v>
      </c>
    </row>
    <row r="67" spans="1:16">
      <c r="A67"/>
      <c r="B67" s="115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</row>
    <row r="68" spans="1:16">
      <c r="A68"/>
      <c r="B68" s="115"/>
    </row>
    <row r="69" spans="1:16" ht="15" thickBot="1">
      <c r="A69"/>
    </row>
    <row r="70" spans="1:16" ht="15" thickBot="1">
      <c r="A70"/>
      <c r="B70" s="26" t="s">
        <v>111</v>
      </c>
      <c r="C70" s="3" t="str">
        <f t="shared" ref="C70:N70" si="39">C41</f>
        <v>FY18</v>
      </c>
      <c r="D70" s="3" t="str">
        <f t="shared" si="39"/>
        <v>FY19</v>
      </c>
      <c r="E70" s="3" t="str">
        <f t="shared" si="39"/>
        <v>FY20</v>
      </c>
      <c r="F70" s="3" t="str">
        <f t="shared" si="39"/>
        <v>FY21</v>
      </c>
      <c r="G70" s="3" t="str">
        <f t="shared" si="39"/>
        <v>FY22</v>
      </c>
      <c r="H70" s="3" t="str">
        <f t="shared" si="39"/>
        <v>FY23</v>
      </c>
      <c r="I70" s="3" t="str">
        <f t="shared" si="39"/>
        <v>FY24</v>
      </c>
      <c r="J70" s="3" t="str">
        <f t="shared" si="39"/>
        <v>FY25E</v>
      </c>
      <c r="K70" s="3" t="str">
        <f t="shared" si="39"/>
        <v>FY26E</v>
      </c>
      <c r="L70" s="3" t="str">
        <f t="shared" si="39"/>
        <v>FY27E</v>
      </c>
      <c r="M70" s="3" t="str">
        <f t="shared" si="39"/>
        <v>FY28E</v>
      </c>
      <c r="N70" s="5" t="str">
        <f t="shared" si="39"/>
        <v>FY29E</v>
      </c>
    </row>
    <row r="71" spans="1:16">
      <c r="A71" s="301" t="s">
        <v>211</v>
      </c>
      <c r="B71" s="116" t="s">
        <v>112</v>
      </c>
      <c r="C71" s="117">
        <f>'Balance Sheet'!C5</f>
        <v>264</v>
      </c>
      <c r="D71" s="117">
        <f>'Balance Sheet'!D5</f>
        <v>214</v>
      </c>
      <c r="E71" s="117">
        <f>'Balance Sheet'!E5</f>
        <v>14790</v>
      </c>
      <c r="F71" s="117">
        <f>'Balance Sheet'!F5</f>
        <v>14178</v>
      </c>
      <c r="G71" s="117">
        <f>'Balance Sheet'!G5</f>
        <v>12826</v>
      </c>
      <c r="H71" s="117">
        <f>'Balance Sheet'!H5</f>
        <v>26803</v>
      </c>
      <c r="I71" s="118">
        <f>'Balance Sheet'!I5</f>
        <v>26798</v>
      </c>
      <c r="J71" s="299">
        <f>J78</f>
        <v>28150.664266960601</v>
      </c>
      <c r="K71" s="299">
        <f t="shared" ref="K71:N71" si="40">K78</f>
        <v>30751.190351465717</v>
      </c>
      <c r="L71" s="299">
        <f t="shared" si="40"/>
        <v>32972.030986967678</v>
      </c>
      <c r="M71" s="299">
        <f t="shared" si="40"/>
        <v>35918.426295670019</v>
      </c>
      <c r="N71" s="300">
        <f t="shared" si="40"/>
        <v>39023.190452320225</v>
      </c>
    </row>
    <row r="72" spans="1:16">
      <c r="A72" s="301" t="s">
        <v>211</v>
      </c>
      <c r="B72" s="116" t="s">
        <v>113</v>
      </c>
      <c r="C72" s="117">
        <f>'Balance Sheet'!C8</f>
        <v>793</v>
      </c>
      <c r="D72" s="117">
        <f>'Balance Sheet'!D8</f>
        <v>196</v>
      </c>
      <c r="E72" s="117">
        <f>'Balance Sheet'!E8</f>
        <v>336</v>
      </c>
      <c r="F72" s="117">
        <f>'Balance Sheet'!F8</f>
        <v>224</v>
      </c>
      <c r="G72" s="117">
        <f>'Balance Sheet'!G8</f>
        <v>350</v>
      </c>
      <c r="H72" s="117">
        <f>'Balance Sheet'!H8</f>
        <v>548</v>
      </c>
      <c r="I72" s="118">
        <f>'Balance Sheet'!I8</f>
        <v>454</v>
      </c>
      <c r="J72" s="299">
        <f>J82</f>
        <v>517.9795693708561</v>
      </c>
      <c r="K72" s="299">
        <f t="shared" ref="K72:N72" si="41">K82</f>
        <v>610.12824466956363</v>
      </c>
      <c r="L72" s="299">
        <f t="shared" si="41"/>
        <v>699.64408293152655</v>
      </c>
      <c r="M72" s="299">
        <f t="shared" si="41"/>
        <v>817.77077778708417</v>
      </c>
      <c r="N72" s="300">
        <f t="shared" si="41"/>
        <v>950.083000439643</v>
      </c>
    </row>
    <row r="73" spans="1:16">
      <c r="A73" s="301" t="s">
        <v>211</v>
      </c>
      <c r="B73" s="116" t="s">
        <v>114</v>
      </c>
      <c r="C73" s="117">
        <f>'Balance Sheet'!C10</f>
        <v>5484</v>
      </c>
      <c r="D73" s="117">
        <f>'Balance Sheet'!D10</f>
        <v>3965</v>
      </c>
      <c r="E73" s="117">
        <f>'Balance Sheet'!E10</f>
        <v>618</v>
      </c>
      <c r="F73" s="117">
        <f>'Balance Sheet'!F10</f>
        <v>586</v>
      </c>
      <c r="G73" s="117">
        <f>'Balance Sheet'!G10</f>
        <v>571</v>
      </c>
      <c r="H73" s="117">
        <f>'Balance Sheet'!H10</f>
        <v>591</v>
      </c>
      <c r="I73" s="118">
        <f>'Balance Sheet'!I10</f>
        <v>613</v>
      </c>
      <c r="J73" s="299">
        <f>J86</f>
        <v>626.96075431832776</v>
      </c>
      <c r="K73" s="299">
        <f t="shared" ref="K73:N73" si="42">K86</f>
        <v>637.34569883282404</v>
      </c>
      <c r="L73" s="299">
        <f t="shared" si="42"/>
        <v>645.69404353640448</v>
      </c>
      <c r="M73" s="299">
        <f t="shared" si="42"/>
        <v>655.31396114715483</v>
      </c>
      <c r="N73" s="300">
        <f t="shared" si="42"/>
        <v>664.29856357288315</v>
      </c>
      <c r="P73" t="s">
        <v>232</v>
      </c>
    </row>
    <row r="74" spans="1:16">
      <c r="A74"/>
      <c r="B74" s="119"/>
      <c r="C74" s="42"/>
      <c r="D74" s="42"/>
      <c r="E74" s="42"/>
      <c r="F74" s="42"/>
      <c r="G74" s="42"/>
      <c r="H74" s="42"/>
      <c r="I74" s="120"/>
      <c r="J74" s="42"/>
      <c r="K74" s="42"/>
      <c r="L74" s="42"/>
      <c r="M74" s="42"/>
      <c r="N74" s="43"/>
    </row>
    <row r="75" spans="1:16">
      <c r="A75"/>
      <c r="B75" s="121" t="s">
        <v>112</v>
      </c>
      <c r="C75" s="122"/>
      <c r="D75" s="122"/>
      <c r="E75" s="122"/>
      <c r="F75" s="122"/>
      <c r="G75" s="122"/>
      <c r="H75" s="122"/>
      <c r="I75" s="123"/>
      <c r="J75" s="122"/>
      <c r="K75" s="122"/>
      <c r="L75" s="122"/>
      <c r="M75" s="122"/>
      <c r="N75" s="124"/>
    </row>
    <row r="76" spans="1:16">
      <c r="A76"/>
      <c r="B76" s="125" t="s">
        <v>115</v>
      </c>
      <c r="C76" s="23">
        <v>264</v>
      </c>
      <c r="D76" s="23">
        <v>357</v>
      </c>
      <c r="E76" s="23">
        <v>28213</v>
      </c>
      <c r="F76" s="23">
        <v>29943</v>
      </c>
      <c r="G76" s="23">
        <v>30705</v>
      </c>
      <c r="H76" s="23">
        <v>53725</v>
      </c>
      <c r="I76" s="287">
        <v>58264</v>
      </c>
      <c r="J76" s="23">
        <f>I76+J99</f>
        <v>65789.5</v>
      </c>
      <c r="K76" s="23">
        <f t="shared" ref="K76:N76" si="43">J76+K99</f>
        <v>75048.753599559102</v>
      </c>
      <c r="L76" s="23">
        <f t="shared" si="43"/>
        <v>85036.844872140093</v>
      </c>
      <c r="M76" s="23">
        <f t="shared" si="43"/>
        <v>96687.720827758632</v>
      </c>
      <c r="N76" s="165">
        <f t="shared" si="43"/>
        <v>109744.44179813293</v>
      </c>
    </row>
    <row r="77" spans="1:16">
      <c r="A77"/>
      <c r="B77" s="125" t="s">
        <v>116</v>
      </c>
      <c r="C77" s="42"/>
      <c r="D77" s="42">
        <v>143</v>
      </c>
      <c r="E77" s="42">
        <v>13423</v>
      </c>
      <c r="F77" s="42">
        <v>15765</v>
      </c>
      <c r="G77" s="42">
        <v>17879</v>
      </c>
      <c r="H77" s="42">
        <v>26922</v>
      </c>
      <c r="I77" s="120">
        <v>31466</v>
      </c>
      <c r="J77" s="42">
        <f>I77+J88</f>
        <v>37638.835733039399</v>
      </c>
      <c r="K77" s="42">
        <f t="shared" ref="K77:N77" si="44">J77+K88</f>
        <v>44297.563248093385</v>
      </c>
      <c r="L77" s="42">
        <f t="shared" si="44"/>
        <v>52064.813885172414</v>
      </c>
      <c r="M77" s="42">
        <f t="shared" si="44"/>
        <v>60769.294532088614</v>
      </c>
      <c r="N77" s="43">
        <f t="shared" si="44"/>
        <v>70721.251345812707</v>
      </c>
    </row>
    <row r="78" spans="1:16">
      <c r="A78"/>
      <c r="B78" s="125" t="s">
        <v>117</v>
      </c>
      <c r="C78" s="42">
        <f t="shared" ref="C78:I78" si="45">C76-C77</f>
        <v>264</v>
      </c>
      <c r="D78" s="42">
        <f t="shared" si="45"/>
        <v>214</v>
      </c>
      <c r="E78" s="42">
        <f t="shared" si="45"/>
        <v>14790</v>
      </c>
      <c r="F78" s="42">
        <f t="shared" si="45"/>
        <v>14178</v>
      </c>
      <c r="G78" s="42">
        <f t="shared" si="45"/>
        <v>12826</v>
      </c>
      <c r="H78" s="42">
        <f t="shared" si="45"/>
        <v>26803</v>
      </c>
      <c r="I78" s="120">
        <f t="shared" si="45"/>
        <v>26798</v>
      </c>
      <c r="J78" s="42">
        <f>J76-J77</f>
        <v>28150.664266960601</v>
      </c>
      <c r="K78" s="42">
        <f t="shared" ref="K78:N78" si="46">K76-K77</f>
        <v>30751.190351465717</v>
      </c>
      <c r="L78" s="42">
        <f t="shared" si="46"/>
        <v>32972.030986967678</v>
      </c>
      <c r="M78" s="42">
        <f t="shared" si="46"/>
        <v>35918.426295670019</v>
      </c>
      <c r="N78" s="43">
        <f t="shared" si="46"/>
        <v>39023.190452320225</v>
      </c>
    </row>
    <row r="79" spans="1:16">
      <c r="A79"/>
      <c r="B79" s="121" t="s">
        <v>113</v>
      </c>
      <c r="C79" s="122"/>
      <c r="D79" s="122"/>
      <c r="E79" s="122"/>
      <c r="F79" s="122"/>
      <c r="G79" s="122"/>
      <c r="H79" s="122"/>
      <c r="I79" s="123"/>
      <c r="J79" s="122"/>
      <c r="K79" s="122"/>
      <c r="L79" s="122"/>
      <c r="M79" s="122"/>
      <c r="N79" s="124"/>
    </row>
    <row r="80" spans="1:16">
      <c r="A80"/>
      <c r="B80" s="125" t="s">
        <v>115</v>
      </c>
      <c r="C80" s="42">
        <f>29+545+39+180</f>
        <v>793</v>
      </c>
      <c r="D80" s="42">
        <f>32+577+42+187</f>
        <v>838</v>
      </c>
      <c r="E80" s="42">
        <v>937</v>
      </c>
      <c r="F80" s="42">
        <v>967</v>
      </c>
      <c r="G80" s="42">
        <v>1254</v>
      </c>
      <c r="H80" s="42">
        <v>1660</v>
      </c>
      <c r="I80" s="120">
        <v>1783</v>
      </c>
      <c r="J80" s="42">
        <f>I80+J102</f>
        <v>2108.5</v>
      </c>
      <c r="K80" s="42">
        <f t="shared" ref="K80:N80" si="47">J80+K102</f>
        <v>2500.7806459437161</v>
      </c>
      <c r="L80" s="42">
        <f t="shared" si="47"/>
        <v>2950.9786019112289</v>
      </c>
      <c r="M80" s="42">
        <f t="shared" si="47"/>
        <v>3492.0017784695538</v>
      </c>
      <c r="N80" s="43">
        <f t="shared" si="47"/>
        <v>4126.3465010237051</v>
      </c>
    </row>
    <row r="81" spans="1:14">
      <c r="A81"/>
      <c r="B81" s="125" t="s">
        <v>116</v>
      </c>
      <c r="C81" s="42"/>
      <c r="D81" s="42">
        <f>32+468+36+106</f>
        <v>642</v>
      </c>
      <c r="E81" s="42">
        <v>601</v>
      </c>
      <c r="F81" s="42">
        <v>743</v>
      </c>
      <c r="G81" s="42">
        <v>904</v>
      </c>
      <c r="H81" s="42">
        <v>1112</v>
      </c>
      <c r="I81" s="120">
        <v>1329</v>
      </c>
      <c r="J81" s="42">
        <f>I81+J90</f>
        <v>1590.5204306291439</v>
      </c>
      <c r="K81" s="42">
        <f t="shared" ref="K81:N81" si="48">J81+K90</f>
        <v>1890.6524012741525</v>
      </c>
      <c r="L81" s="42">
        <f t="shared" si="48"/>
        <v>2251.3345189797024</v>
      </c>
      <c r="M81" s="42">
        <f t="shared" si="48"/>
        <v>2674.2310006824696</v>
      </c>
      <c r="N81" s="43">
        <f t="shared" si="48"/>
        <v>3176.2635005840621</v>
      </c>
    </row>
    <row r="82" spans="1:14">
      <c r="A82"/>
      <c r="B82" s="125" t="s">
        <v>118</v>
      </c>
      <c r="C82" s="42">
        <f t="shared" ref="C82:I82" si="49">C80-C81</f>
        <v>793</v>
      </c>
      <c r="D82" s="42">
        <f t="shared" si="49"/>
        <v>196</v>
      </c>
      <c r="E82" s="42">
        <f t="shared" si="49"/>
        <v>336</v>
      </c>
      <c r="F82" s="42">
        <f t="shared" si="49"/>
        <v>224</v>
      </c>
      <c r="G82" s="42">
        <f t="shared" si="49"/>
        <v>350</v>
      </c>
      <c r="H82" s="42">
        <f t="shared" si="49"/>
        <v>548</v>
      </c>
      <c r="I82" s="120">
        <f t="shared" si="49"/>
        <v>454</v>
      </c>
      <c r="J82" s="42">
        <f>J80-J81</f>
        <v>517.9795693708561</v>
      </c>
      <c r="K82" s="42">
        <f t="shared" ref="K82:N82" si="50">K80-K81</f>
        <v>610.12824466956363</v>
      </c>
      <c r="L82" s="42">
        <f t="shared" si="50"/>
        <v>699.64408293152655</v>
      </c>
      <c r="M82" s="42">
        <f t="shared" si="50"/>
        <v>817.77077778708417</v>
      </c>
      <c r="N82" s="43">
        <f t="shared" si="50"/>
        <v>950.083000439643</v>
      </c>
    </row>
    <row r="83" spans="1:14">
      <c r="A83"/>
      <c r="B83" s="121" t="s">
        <v>114</v>
      </c>
      <c r="C83" s="122"/>
      <c r="D83" s="122"/>
      <c r="E83" s="122"/>
      <c r="F83" s="122"/>
      <c r="G83" s="122"/>
      <c r="H83" s="122"/>
      <c r="I83" s="123"/>
      <c r="J83" s="122"/>
      <c r="K83" s="122"/>
      <c r="L83" s="122"/>
      <c r="M83" s="122"/>
      <c r="N83" s="124"/>
    </row>
    <row r="84" spans="1:14">
      <c r="A84"/>
      <c r="B84" s="125" t="s">
        <v>115</v>
      </c>
      <c r="C84" s="42">
        <v>5484</v>
      </c>
      <c r="D84" s="42">
        <f>5484+255-71</f>
        <v>5668</v>
      </c>
      <c r="E84" s="42">
        <v>639</v>
      </c>
      <c r="F84" s="42">
        <v>606</v>
      </c>
      <c r="G84" s="42">
        <v>700</v>
      </c>
      <c r="H84" s="42">
        <v>698</v>
      </c>
      <c r="I84" s="120">
        <v>741</v>
      </c>
      <c r="J84" s="42">
        <f>I86+J105</f>
        <v>646</v>
      </c>
      <c r="K84" s="42">
        <f t="shared" ref="K84:N84" si="51">J86+K105</f>
        <v>655.51962284083618</v>
      </c>
      <c r="L84" s="42">
        <f t="shared" si="51"/>
        <v>664.60658484484225</v>
      </c>
      <c r="M84" s="42">
        <f t="shared" si="51"/>
        <v>674.06285549906124</v>
      </c>
      <c r="N84" s="43">
        <f t="shared" si="51"/>
        <v>683.43730267501451</v>
      </c>
    </row>
    <row r="85" spans="1:14">
      <c r="A85"/>
      <c r="B85" s="125" t="s">
        <v>208</v>
      </c>
      <c r="C85" s="42">
        <v>0</v>
      </c>
      <c r="D85" s="42">
        <v>1703</v>
      </c>
      <c r="E85" s="325">
        <v>21</v>
      </c>
      <c r="F85" s="325">
        <v>20</v>
      </c>
      <c r="G85" s="325">
        <v>129</v>
      </c>
      <c r="H85" s="325">
        <v>107</v>
      </c>
      <c r="I85" s="326">
        <v>128</v>
      </c>
      <c r="J85" s="325">
        <f>J92</f>
        <v>19.039245681672277</v>
      </c>
      <c r="K85" s="325">
        <f t="shared" ref="K85:N85" si="52">K92</f>
        <v>18.173924008012154</v>
      </c>
      <c r="L85" s="325">
        <f t="shared" si="52"/>
        <v>18.91254130843781</v>
      </c>
      <c r="M85" s="325">
        <f t="shared" si="52"/>
        <v>18.748894351906447</v>
      </c>
      <c r="N85" s="329">
        <f t="shared" si="52"/>
        <v>19.138739102131407</v>
      </c>
    </row>
    <row r="86" spans="1:14">
      <c r="A86"/>
      <c r="B86" s="125" t="s">
        <v>119</v>
      </c>
      <c r="C86" s="42">
        <f t="shared" ref="C86:I86" si="53">C84-C85</f>
        <v>5484</v>
      </c>
      <c r="D86" s="42">
        <f t="shared" si="53"/>
        <v>3965</v>
      </c>
      <c r="E86" s="42">
        <f t="shared" si="53"/>
        <v>618</v>
      </c>
      <c r="F86" s="42">
        <f t="shared" si="53"/>
        <v>586</v>
      </c>
      <c r="G86" s="42">
        <f t="shared" si="53"/>
        <v>571</v>
      </c>
      <c r="H86" s="42">
        <f t="shared" si="53"/>
        <v>591</v>
      </c>
      <c r="I86" s="120">
        <f t="shared" si="53"/>
        <v>613</v>
      </c>
      <c r="J86" s="42">
        <f>J84-J85</f>
        <v>626.96075431832776</v>
      </c>
      <c r="K86" s="42">
        <f t="shared" ref="K86:N86" si="54">K84-K85</f>
        <v>637.34569883282404</v>
      </c>
      <c r="L86" s="42">
        <f t="shared" si="54"/>
        <v>645.69404353640448</v>
      </c>
      <c r="M86" s="42">
        <f t="shared" si="54"/>
        <v>655.31396114715483</v>
      </c>
      <c r="N86" s="43">
        <f t="shared" si="54"/>
        <v>664.29856357288315</v>
      </c>
    </row>
    <row r="87" spans="1:14">
      <c r="A87"/>
      <c r="B87" s="125"/>
      <c r="C87" s="42"/>
      <c r="D87" s="42"/>
      <c r="E87" s="42"/>
      <c r="F87" s="42"/>
      <c r="G87" s="42"/>
      <c r="H87" s="42"/>
      <c r="I87" s="120"/>
      <c r="J87" s="42"/>
      <c r="K87" s="42"/>
      <c r="L87" s="42"/>
      <c r="M87" s="42"/>
      <c r="N87" s="43"/>
    </row>
    <row r="88" spans="1:14" ht="13.75" customHeight="1">
      <c r="A88"/>
      <c r="B88" s="121" t="s">
        <v>120</v>
      </c>
      <c r="C88" s="122"/>
      <c r="D88" s="122">
        <v>143</v>
      </c>
      <c r="E88" s="122">
        <v>3362</v>
      </c>
      <c r="F88" s="122">
        <v>2872</v>
      </c>
      <c r="G88" s="122">
        <v>2611</v>
      </c>
      <c r="H88" s="122">
        <v>4620</v>
      </c>
      <c r="I88" s="123">
        <v>5017</v>
      </c>
      <c r="J88" s="122">
        <f>J89*AVERAGE(I76:J76)</f>
        <v>6172.8357330393992</v>
      </c>
      <c r="K88" s="122">
        <f t="shared" ref="K88:N88" si="55">K89*AVERAGE(J76:K76)</f>
        <v>6658.727515053989</v>
      </c>
      <c r="L88" s="122">
        <f t="shared" si="55"/>
        <v>7767.2506370790261</v>
      </c>
      <c r="M88" s="122">
        <f t="shared" si="55"/>
        <v>8704.4806469162013</v>
      </c>
      <c r="N88" s="124">
        <f t="shared" si="55"/>
        <v>9951.9568137240949</v>
      </c>
    </row>
    <row r="89" spans="1:14">
      <c r="A89"/>
      <c r="B89" s="121" t="s">
        <v>121</v>
      </c>
      <c r="C89" s="122"/>
      <c r="D89" s="126">
        <f>D88/D76</f>
        <v>0.40056022408963587</v>
      </c>
      <c r="E89" s="126">
        <f>E88/(AVERAGE(D76:E76))</f>
        <v>0.23535176758837942</v>
      </c>
      <c r="F89" s="126">
        <f>F88/(AVERAGE(E76:F76))</f>
        <v>9.8768828667721298E-2</v>
      </c>
      <c r="G89" s="126">
        <f>G88/(AVERAGE(F76:G76))</f>
        <v>8.6103416435826405E-2</v>
      </c>
      <c r="H89" s="277">
        <f>H88/(AVERAGE(G76:H76))</f>
        <v>0.10943977259268033</v>
      </c>
      <c r="I89" s="278">
        <f>I88/(AVERAGE(H76:I76))</f>
        <v>8.9598085526257046E-2</v>
      </c>
      <c r="J89" s="277">
        <f>AVERAGE(H89:I89)</f>
        <v>9.9518929059468686E-2</v>
      </c>
      <c r="K89" s="277">
        <f t="shared" ref="K89:N89" si="56">AVERAGE(I89:J89)</f>
        <v>9.4558507292862859E-2</v>
      </c>
      <c r="L89" s="277">
        <f t="shared" si="56"/>
        <v>9.7038718176165772E-2</v>
      </c>
      <c r="M89" s="277">
        <f t="shared" si="56"/>
        <v>9.5798612734514316E-2</v>
      </c>
      <c r="N89" s="302">
        <f t="shared" si="56"/>
        <v>9.6418665455340044E-2</v>
      </c>
    </row>
    <row r="90" spans="1:14">
      <c r="A90"/>
      <c r="B90" s="121" t="s">
        <v>122</v>
      </c>
      <c r="C90" s="122"/>
      <c r="D90" s="122">
        <v>632</v>
      </c>
      <c r="E90" s="122">
        <v>145</v>
      </c>
      <c r="F90" s="122">
        <v>142</v>
      </c>
      <c r="G90" s="122">
        <v>161</v>
      </c>
      <c r="H90" s="122">
        <v>208</v>
      </c>
      <c r="I90" s="123">
        <v>217</v>
      </c>
      <c r="J90" s="122">
        <f>J91*AVERAGE(I80:J80)</f>
        <v>261.52043062914396</v>
      </c>
      <c r="K90" s="122">
        <f t="shared" ref="K90:N90" si="57">K91*AVERAGE(J80:K80)</f>
        <v>300.13197064500849</v>
      </c>
      <c r="L90" s="122">
        <f t="shared" si="57"/>
        <v>360.68211770555007</v>
      </c>
      <c r="M90" s="122">
        <f t="shared" si="57"/>
        <v>422.89648170276729</v>
      </c>
      <c r="N90" s="124">
        <f t="shared" si="57"/>
        <v>502.03249990159247</v>
      </c>
    </row>
    <row r="91" spans="1:14">
      <c r="A91"/>
      <c r="B91" s="121" t="s">
        <v>121</v>
      </c>
      <c r="C91" s="122"/>
      <c r="D91" s="126">
        <f>D90/D80</f>
        <v>0.75417661097852029</v>
      </c>
      <c r="E91" s="126">
        <f>E90/AVERAGE(D80:E80)</f>
        <v>0.16338028169014085</v>
      </c>
      <c r="F91" s="126">
        <f>F90/AVERAGE(E80:F80)</f>
        <v>0.14915966386554622</v>
      </c>
      <c r="G91" s="126">
        <f>G90/AVERAGE(F80:G80)</f>
        <v>0.144979738856371</v>
      </c>
      <c r="H91" s="126">
        <f>H90/AVERAGE(G80:H80)</f>
        <v>0.14275909402882636</v>
      </c>
      <c r="I91" s="127">
        <f>I90/AVERAGE(H80:I80)</f>
        <v>0.12605286087714201</v>
      </c>
      <c r="J91" s="277">
        <f>AVERAGE(H91:I91)</f>
        <v>0.13440597745298419</v>
      </c>
      <c r="K91" s="277">
        <f t="shared" ref="K91:N91" si="58">AVERAGE(I91:J91)</f>
        <v>0.13022941916506309</v>
      </c>
      <c r="L91" s="277">
        <f t="shared" si="58"/>
        <v>0.13231769830902362</v>
      </c>
      <c r="M91" s="277">
        <f t="shared" si="58"/>
        <v>0.13127355873704336</v>
      </c>
      <c r="N91" s="302">
        <f t="shared" si="58"/>
        <v>0.1317956285230335</v>
      </c>
    </row>
    <row r="92" spans="1:14">
      <c r="A92"/>
      <c r="B92" s="121" t="s">
        <v>123</v>
      </c>
      <c r="C92" s="122"/>
      <c r="D92" s="122">
        <v>1703</v>
      </c>
      <c r="E92" s="327">
        <v>21</v>
      </c>
      <c r="F92" s="327">
        <v>20</v>
      </c>
      <c r="G92" s="327">
        <v>17</v>
      </c>
      <c r="H92" s="327">
        <v>18</v>
      </c>
      <c r="I92" s="328">
        <v>22</v>
      </c>
      <c r="J92" s="327">
        <f>J93*AVERAGE(I84:J84)</f>
        <v>19.039245681672277</v>
      </c>
      <c r="K92" s="327">
        <f t="shared" ref="K92:N92" si="59">K93*AVERAGE(J84:K84)</f>
        <v>18.173924008012154</v>
      </c>
      <c r="L92" s="327">
        <f t="shared" si="59"/>
        <v>18.91254130843781</v>
      </c>
      <c r="M92" s="327">
        <f t="shared" si="59"/>
        <v>18.748894351906447</v>
      </c>
      <c r="N92" s="330">
        <f t="shared" si="59"/>
        <v>19.138739102131407</v>
      </c>
    </row>
    <row r="93" spans="1:14">
      <c r="A93"/>
      <c r="B93" s="121" t="s">
        <v>121</v>
      </c>
      <c r="C93" s="122"/>
      <c r="D93" s="126">
        <f>D92/D84</f>
        <v>0.30045871559633025</v>
      </c>
      <c r="E93" s="126">
        <f>E92/AVERAGE(D84:E84)</f>
        <v>6.6592674805771362E-3</v>
      </c>
      <c r="F93" s="126">
        <f>F92/AVERAGE(E84:F84)</f>
        <v>3.2128514056224897E-2</v>
      </c>
      <c r="G93" s="126">
        <f>G92/AVERAGE(F84:G84)</f>
        <v>2.6033690658499236E-2</v>
      </c>
      <c r="H93" s="126">
        <f>H92/AVERAGE(G84:H84)</f>
        <v>2.575107296137339E-2</v>
      </c>
      <c r="I93" s="127">
        <f>I92/AVERAGE(H84:I84)</f>
        <v>3.0576789437109102E-2</v>
      </c>
      <c r="J93" s="277">
        <f>AVERAGE(G93:I93)</f>
        <v>2.7453851018993908E-2</v>
      </c>
      <c r="K93" s="277">
        <f t="shared" ref="K93:N93" si="60">AVERAGE(H93:J93)</f>
        <v>2.7927237805825466E-2</v>
      </c>
      <c r="L93" s="277">
        <f t="shared" si="60"/>
        <v>2.8652626087309493E-2</v>
      </c>
      <c r="M93" s="277">
        <f t="shared" si="60"/>
        <v>2.8011238304042955E-2</v>
      </c>
      <c r="N93" s="302">
        <f t="shared" si="60"/>
        <v>2.8197034065725973E-2</v>
      </c>
    </row>
    <row r="94" spans="1:14" ht="15" thickBot="1">
      <c r="A94" s="301" t="s">
        <v>212</v>
      </c>
      <c r="B94" s="255" t="s">
        <v>124</v>
      </c>
      <c r="C94" s="256">
        <f t="shared" ref="C94:I94" si="61">C88+C90+C92</f>
        <v>0</v>
      </c>
      <c r="D94" s="256">
        <f t="shared" si="61"/>
        <v>2478</v>
      </c>
      <c r="E94" s="256">
        <f t="shared" si="61"/>
        <v>3528</v>
      </c>
      <c r="F94" s="256">
        <f t="shared" si="61"/>
        <v>3034</v>
      </c>
      <c r="G94" s="256">
        <f t="shared" si="61"/>
        <v>2789</v>
      </c>
      <c r="H94" s="256">
        <f t="shared" si="61"/>
        <v>4846</v>
      </c>
      <c r="I94" s="257">
        <f t="shared" si="61"/>
        <v>5256</v>
      </c>
      <c r="J94" s="256">
        <f>J92+J90+J88</f>
        <v>6453.3954093502152</v>
      </c>
      <c r="K94" s="256">
        <f t="shared" ref="K94:N94" si="62">K92+K90+K88</f>
        <v>6977.0334097070099</v>
      </c>
      <c r="L94" s="256">
        <f t="shared" si="62"/>
        <v>8146.8452960930135</v>
      </c>
      <c r="M94" s="256">
        <f t="shared" si="62"/>
        <v>9146.1260229708751</v>
      </c>
      <c r="N94" s="391">
        <f t="shared" si="62"/>
        <v>10473.12805272782</v>
      </c>
    </row>
    <row r="95" spans="1:14">
      <c r="A95"/>
      <c r="B95" s="390" t="s">
        <v>307</v>
      </c>
      <c r="C95" s="128"/>
      <c r="D95" s="128"/>
      <c r="E95" s="128"/>
      <c r="F95" s="128"/>
      <c r="G95" s="128"/>
      <c r="H95" s="128"/>
      <c r="I95" s="129"/>
      <c r="J95" s="128">
        <v>0.5</v>
      </c>
      <c r="K95" s="128">
        <v>0.5</v>
      </c>
      <c r="L95" s="128">
        <v>0.5</v>
      </c>
      <c r="M95" s="128">
        <v>0.5</v>
      </c>
      <c r="N95" s="130">
        <v>0.5</v>
      </c>
    </row>
    <row r="96" spans="1:14">
      <c r="A96"/>
      <c r="B96" s="49"/>
      <c r="C96" s="128"/>
      <c r="D96" s="128"/>
      <c r="E96" s="128"/>
      <c r="F96" s="128"/>
      <c r="G96" s="128"/>
      <c r="H96" s="128"/>
      <c r="I96" s="129"/>
      <c r="J96" s="128"/>
      <c r="K96" s="128"/>
      <c r="L96" s="128"/>
      <c r="M96" s="128"/>
      <c r="N96" s="130"/>
    </row>
    <row r="97" spans="1:14">
      <c r="A97"/>
      <c r="B97" s="121" t="s">
        <v>126</v>
      </c>
      <c r="C97" s="252"/>
      <c r="D97" s="131"/>
      <c r="E97" s="131"/>
      <c r="F97" s="131"/>
      <c r="G97" s="131"/>
      <c r="H97" s="131"/>
      <c r="I97" s="132"/>
      <c r="J97" s="131">
        <f>I88</f>
        <v>5017</v>
      </c>
      <c r="K97" s="131">
        <f t="shared" ref="K97:N97" si="63">J88</f>
        <v>6172.8357330393992</v>
      </c>
      <c r="L97" s="131">
        <f t="shared" si="63"/>
        <v>6658.727515053989</v>
      </c>
      <c r="M97" s="131">
        <f t="shared" si="63"/>
        <v>7767.2506370790261</v>
      </c>
      <c r="N97" s="133">
        <f t="shared" si="63"/>
        <v>8704.4806469162013</v>
      </c>
    </row>
    <row r="98" spans="1:14">
      <c r="A98"/>
      <c r="B98" s="121" t="s">
        <v>127</v>
      </c>
      <c r="C98" s="131"/>
      <c r="D98" s="131"/>
      <c r="E98" s="131"/>
      <c r="F98" s="131"/>
      <c r="G98" s="131"/>
      <c r="H98" s="131"/>
      <c r="I98" s="132"/>
      <c r="J98" s="131">
        <f>J97*J95</f>
        <v>2508.5</v>
      </c>
      <c r="K98" s="131">
        <f t="shared" ref="K98:N98" si="64">K97*K95</f>
        <v>3086.4178665196996</v>
      </c>
      <c r="L98" s="131">
        <f t="shared" si="64"/>
        <v>3329.3637575269945</v>
      </c>
      <c r="M98" s="131">
        <f t="shared" si="64"/>
        <v>3883.625318539513</v>
      </c>
      <c r="N98" s="133">
        <f t="shared" si="64"/>
        <v>4352.2403234581006</v>
      </c>
    </row>
    <row r="99" spans="1:14">
      <c r="A99"/>
      <c r="B99" s="140" t="s">
        <v>128</v>
      </c>
      <c r="C99" s="141"/>
      <c r="D99" s="141"/>
      <c r="E99" s="141"/>
      <c r="F99" s="141"/>
      <c r="G99" s="141"/>
      <c r="H99" s="141"/>
      <c r="I99" s="142"/>
      <c r="J99" s="141">
        <f>J97+J98</f>
        <v>7525.5</v>
      </c>
      <c r="K99" s="141">
        <f t="shared" ref="K99:N99" si="65">K97+K98</f>
        <v>9259.2535995590988</v>
      </c>
      <c r="L99" s="141">
        <f t="shared" si="65"/>
        <v>9988.0912725809831</v>
      </c>
      <c r="M99" s="141">
        <f t="shared" si="65"/>
        <v>11650.87595561854</v>
      </c>
      <c r="N99" s="143">
        <f t="shared" si="65"/>
        <v>13056.720970374303</v>
      </c>
    </row>
    <row r="100" spans="1:14">
      <c r="A100"/>
      <c r="B100" s="121" t="s">
        <v>129</v>
      </c>
      <c r="C100" s="252"/>
      <c r="D100" s="131"/>
      <c r="E100" s="131"/>
      <c r="F100" s="131"/>
      <c r="G100" s="131"/>
      <c r="H100" s="131"/>
      <c r="I100" s="132"/>
      <c r="J100" s="131">
        <f>I90</f>
        <v>217</v>
      </c>
      <c r="K100" s="131">
        <f t="shared" ref="K100:N100" si="66">J90</f>
        <v>261.52043062914396</v>
      </c>
      <c r="L100" s="131">
        <f t="shared" si="66"/>
        <v>300.13197064500849</v>
      </c>
      <c r="M100" s="131">
        <f t="shared" si="66"/>
        <v>360.68211770555007</v>
      </c>
      <c r="N100" s="133">
        <f t="shared" si="66"/>
        <v>422.89648170276729</v>
      </c>
    </row>
    <row r="101" spans="1:14">
      <c r="A101"/>
      <c r="B101" s="121" t="s">
        <v>130</v>
      </c>
      <c r="C101" s="131"/>
      <c r="D101" s="131"/>
      <c r="E101" s="131"/>
      <c r="F101" s="131"/>
      <c r="G101" s="131"/>
      <c r="H101" s="131"/>
      <c r="I101" s="132"/>
      <c r="J101" s="131">
        <f>J100*J95</f>
        <v>108.5</v>
      </c>
      <c r="K101" s="131">
        <f t="shared" ref="K101:N101" si="67">K100*K95</f>
        <v>130.76021531457198</v>
      </c>
      <c r="L101" s="131">
        <f t="shared" si="67"/>
        <v>150.06598532250425</v>
      </c>
      <c r="M101" s="131">
        <f t="shared" si="67"/>
        <v>180.34105885277503</v>
      </c>
      <c r="N101" s="133">
        <f t="shared" si="67"/>
        <v>211.44824085138364</v>
      </c>
    </row>
    <row r="102" spans="1:14">
      <c r="A102"/>
      <c r="B102" s="140" t="s">
        <v>133</v>
      </c>
      <c r="C102" s="141"/>
      <c r="D102" s="141"/>
      <c r="E102" s="141"/>
      <c r="F102" s="141"/>
      <c r="G102" s="141"/>
      <c r="H102" s="141"/>
      <c r="I102" s="142"/>
      <c r="J102" s="141">
        <f>J100+J101</f>
        <v>325.5</v>
      </c>
      <c r="K102" s="141">
        <f t="shared" ref="K102:N102" si="68">K100+K101</f>
        <v>392.28064594371597</v>
      </c>
      <c r="L102" s="141">
        <f t="shared" si="68"/>
        <v>450.19795596751271</v>
      </c>
      <c r="M102" s="141">
        <f t="shared" si="68"/>
        <v>541.02317655832508</v>
      </c>
      <c r="N102" s="143">
        <f t="shared" si="68"/>
        <v>634.34472255415096</v>
      </c>
    </row>
    <row r="103" spans="1:14">
      <c r="A103"/>
      <c r="B103" s="121" t="s">
        <v>131</v>
      </c>
      <c r="C103" s="252"/>
      <c r="D103" s="131"/>
      <c r="E103" s="131"/>
      <c r="F103" s="131"/>
      <c r="G103" s="131"/>
      <c r="H103" s="131"/>
      <c r="I103" s="132"/>
      <c r="J103" s="131">
        <f>I92</f>
        <v>22</v>
      </c>
      <c r="K103" s="131">
        <f t="shared" ref="K103:N103" si="69">J92</f>
        <v>19.039245681672277</v>
      </c>
      <c r="L103" s="131">
        <f t="shared" si="69"/>
        <v>18.173924008012154</v>
      </c>
      <c r="M103" s="131">
        <f t="shared" si="69"/>
        <v>18.91254130843781</v>
      </c>
      <c r="N103" s="133">
        <f t="shared" si="69"/>
        <v>18.748894351906447</v>
      </c>
    </row>
    <row r="104" spans="1:14">
      <c r="A104"/>
      <c r="B104" s="121" t="s">
        <v>132</v>
      </c>
      <c r="C104" s="131"/>
      <c r="D104" s="131"/>
      <c r="E104" s="131"/>
      <c r="F104" s="131"/>
      <c r="G104" s="131"/>
      <c r="H104" s="131"/>
      <c r="I104" s="132"/>
      <c r="J104" s="131">
        <f>J103*J95</f>
        <v>11</v>
      </c>
      <c r="K104" s="131">
        <f t="shared" ref="K104:N104" si="70">K103*K95</f>
        <v>9.5196228408361385</v>
      </c>
      <c r="L104" s="131">
        <f t="shared" si="70"/>
        <v>9.086962004006077</v>
      </c>
      <c r="M104" s="131">
        <f t="shared" si="70"/>
        <v>9.4562706542189048</v>
      </c>
      <c r="N104" s="133">
        <f t="shared" si="70"/>
        <v>9.3744471759532235</v>
      </c>
    </row>
    <row r="105" spans="1:14">
      <c r="A105"/>
      <c r="B105" s="140" t="s">
        <v>134</v>
      </c>
      <c r="C105" s="144"/>
      <c r="D105" s="145"/>
      <c r="E105" s="145"/>
      <c r="F105" s="145"/>
      <c r="G105" s="145"/>
      <c r="H105" s="145"/>
      <c r="I105" s="146"/>
      <c r="J105" s="141">
        <f>J103+J104</f>
        <v>33</v>
      </c>
      <c r="K105" s="141">
        <f t="shared" ref="K105:N105" si="71">K103+K104</f>
        <v>28.558868522508416</v>
      </c>
      <c r="L105" s="141">
        <f t="shared" si="71"/>
        <v>27.260886012018233</v>
      </c>
      <c r="M105" s="141">
        <f t="shared" si="71"/>
        <v>28.368811962656714</v>
      </c>
      <c r="N105" s="143">
        <f t="shared" si="71"/>
        <v>28.123341527859672</v>
      </c>
    </row>
    <row r="106" spans="1:14" ht="15" thickBot="1">
      <c r="A106"/>
      <c r="B106" s="135" t="s">
        <v>125</v>
      </c>
      <c r="C106" s="136"/>
      <c r="D106" s="136"/>
      <c r="E106" s="136"/>
      <c r="F106" s="136"/>
      <c r="G106" s="136"/>
      <c r="H106" s="136"/>
      <c r="I106" s="137"/>
      <c r="J106" s="138">
        <f>J99+J102+J105</f>
        <v>7884</v>
      </c>
      <c r="K106" s="138">
        <f t="shared" ref="K106:N106" si="72">K99+K102+K105</f>
        <v>9680.0931140253233</v>
      </c>
      <c r="L106" s="138">
        <f t="shared" si="72"/>
        <v>10465.550114560514</v>
      </c>
      <c r="M106" s="138">
        <f t="shared" si="72"/>
        <v>12220.267944139521</v>
      </c>
      <c r="N106" s="139">
        <f t="shared" si="72"/>
        <v>13719.189034456314</v>
      </c>
    </row>
    <row r="107" spans="1:14">
      <c r="A107"/>
    </row>
    <row r="108" spans="1:14">
      <c r="A108"/>
    </row>
    <row r="109" spans="1:14">
      <c r="A109"/>
      <c r="B109" s="25" t="s">
        <v>218</v>
      </c>
      <c r="F109" t="s">
        <v>336</v>
      </c>
    </row>
    <row r="110" spans="1:14">
      <c r="A110" s="322">
        <v>1</v>
      </c>
      <c r="B110" t="s">
        <v>219</v>
      </c>
    </row>
    <row r="111" spans="1:14">
      <c r="A111" s="322">
        <v>2</v>
      </c>
      <c r="B111" t="s">
        <v>220</v>
      </c>
    </row>
    <row r="112" spans="1:14">
      <c r="A112" s="322">
        <v>3</v>
      </c>
      <c r="B112" t="s">
        <v>221</v>
      </c>
    </row>
    <row r="113" spans="1:5">
      <c r="A113" s="322">
        <v>4</v>
      </c>
      <c r="B113" t="s">
        <v>222</v>
      </c>
    </row>
    <row r="114" spans="1:5">
      <c r="A114" s="322"/>
    </row>
    <row r="115" spans="1:5">
      <c r="B115" s="25" t="s">
        <v>223</v>
      </c>
    </row>
    <row r="116" spans="1:5">
      <c r="A116" s="322">
        <v>1</v>
      </c>
      <c r="B116" s="324" t="s">
        <v>224</v>
      </c>
    </row>
    <row r="117" spans="1:5">
      <c r="A117" s="322">
        <v>2</v>
      </c>
      <c r="B117" s="324" t="s">
        <v>225</v>
      </c>
      <c r="E117" t="s">
        <v>226</v>
      </c>
    </row>
    <row r="118" spans="1:5">
      <c r="A118" s="322">
        <v>3</v>
      </c>
      <c r="B118" s="324" t="s">
        <v>227</v>
      </c>
      <c r="E118" t="s">
        <v>308</v>
      </c>
    </row>
    <row r="119" spans="1:5">
      <c r="A119" s="322">
        <v>4</v>
      </c>
      <c r="B119" s="324" t="s">
        <v>228</v>
      </c>
      <c r="E119" t="s">
        <v>229</v>
      </c>
    </row>
    <row r="120" spans="1:5">
      <c r="A120" s="322">
        <v>5</v>
      </c>
      <c r="B120" s="324" t="s">
        <v>230</v>
      </c>
      <c r="E120" t="s">
        <v>231</v>
      </c>
    </row>
    <row r="121" spans="1:5">
      <c r="A121" s="322">
        <v>6</v>
      </c>
      <c r="B121" s="324" t="s">
        <v>233</v>
      </c>
      <c r="E121" t="s">
        <v>234</v>
      </c>
    </row>
    <row r="122" spans="1:5">
      <c r="A122" s="322">
        <v>7</v>
      </c>
      <c r="B122" s="324" t="s">
        <v>235</v>
      </c>
      <c r="E122" t="s">
        <v>236</v>
      </c>
    </row>
    <row r="123" spans="1:5">
      <c r="A123" s="322">
        <v>8</v>
      </c>
      <c r="B123" s="324" t="s">
        <v>237</v>
      </c>
      <c r="E123" t="s">
        <v>238</v>
      </c>
    </row>
    <row r="124" spans="1:5">
      <c r="A124" s="322"/>
    </row>
    <row r="125" spans="1:5">
      <c r="A125" s="322"/>
    </row>
    <row r="126" spans="1:5">
      <c r="A126" s="322"/>
    </row>
    <row r="127" spans="1:5">
      <c r="A127" s="322"/>
    </row>
    <row r="128" spans="1:5">
      <c r="A128" s="322"/>
    </row>
    <row r="129" spans="1:1">
      <c r="A129" s="322"/>
    </row>
    <row r="130" spans="1:1">
      <c r="A130" s="322"/>
    </row>
    <row r="131" spans="1:1">
      <c r="A131" s="322"/>
    </row>
    <row r="132" spans="1:1">
      <c r="A132" s="322"/>
    </row>
    <row r="133" spans="1:1">
      <c r="A133" s="322"/>
    </row>
    <row r="134" spans="1:1">
      <c r="A134" s="322"/>
    </row>
    <row r="135" spans="1:1">
      <c r="A135" s="322"/>
    </row>
    <row r="136" spans="1:1">
      <c r="A136" s="322"/>
    </row>
  </sheetData>
  <pageMargins left="0.7" right="0.7" top="0.75" bottom="0.75" header="0.3" footer="0.3"/>
  <pageSetup orientation="portrait" r:id="rId1"/>
  <ignoredErrors>
    <ignoredError sqref="E91:H91" formulaRange="1"/>
    <ignoredError sqref="J30:N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AA30-244B-47EF-A7DB-4F46AD2A6F42}">
  <dimension ref="A1:CW32"/>
  <sheetViews>
    <sheetView showGridLines="0" zoomScale="90" zoomScaleNormal="90" workbookViewId="0">
      <selection activeCell="P15" sqref="P15"/>
    </sheetView>
  </sheetViews>
  <sheetFormatPr defaultRowHeight="14.5" outlineLevelCol="1"/>
  <cols>
    <col min="2" max="2" width="40.81640625" customWidth="1"/>
    <col min="3" max="4" width="12.1796875" hidden="1" customWidth="1" outlineLevel="1"/>
    <col min="5" max="5" width="12.1796875" customWidth="1" collapsed="1"/>
    <col min="6" max="14" width="12.1796875" customWidth="1"/>
  </cols>
  <sheetData>
    <row r="1" spans="1:101">
      <c r="B1" s="25" t="s">
        <v>270</v>
      </c>
    </row>
    <row r="2" spans="1:101" ht="15" thickBot="1"/>
    <row r="3" spans="1:101" ht="15" thickBot="1">
      <c r="B3" s="26" t="s">
        <v>53</v>
      </c>
      <c r="C3" s="3" t="str">
        <f>'Balance Sheet'!C3</f>
        <v>FY18</v>
      </c>
      <c r="D3" s="3" t="str">
        <f>'Balance Sheet'!D3</f>
        <v>FY19</v>
      </c>
      <c r="E3" s="3" t="str">
        <f>'Balance Sheet'!E3</f>
        <v>FY20</v>
      </c>
      <c r="F3" s="3" t="str">
        <f>'Balance Sheet'!F3</f>
        <v>FY21</v>
      </c>
      <c r="G3" s="3" t="str">
        <f>'Balance Sheet'!G3</f>
        <v>FY22</v>
      </c>
      <c r="H3" s="3" t="str">
        <f>'Balance Sheet'!H3</f>
        <v>FY23</v>
      </c>
      <c r="I3" s="5" t="str">
        <f>'Balance Sheet'!I3</f>
        <v>FY24</v>
      </c>
      <c r="J3" s="3" t="str">
        <f>'Balance Sheet'!J3</f>
        <v>FY25E</v>
      </c>
      <c r="K3" s="3" t="str">
        <f>'Balance Sheet'!K3</f>
        <v>FY26E</v>
      </c>
      <c r="L3" s="3" t="str">
        <f>'Balance Sheet'!L3</f>
        <v>FY27E</v>
      </c>
      <c r="M3" s="3" t="str">
        <f>'Balance Sheet'!M3</f>
        <v>FY28E</v>
      </c>
      <c r="N3" s="5" t="str">
        <f>'Balance Sheet'!N3</f>
        <v>FY29E</v>
      </c>
    </row>
    <row r="4" spans="1:101" ht="16.25" customHeight="1">
      <c r="B4" s="32" t="s">
        <v>54</v>
      </c>
      <c r="C4" s="29"/>
      <c r="D4" s="29"/>
      <c r="E4" s="29"/>
      <c r="F4" s="29"/>
      <c r="G4" s="29"/>
      <c r="H4" s="29"/>
      <c r="I4" s="30"/>
      <c r="J4" s="29"/>
      <c r="K4" s="29"/>
      <c r="L4" s="29"/>
      <c r="M4" s="29"/>
      <c r="N4" s="37"/>
    </row>
    <row r="5" spans="1:101" s="301" customFormat="1">
      <c r="A5" s="446"/>
      <c r="B5" s="298" t="s">
        <v>267</v>
      </c>
      <c r="C5" s="299">
        <v>46761</v>
      </c>
      <c r="D5" s="299">
        <v>59036</v>
      </c>
      <c r="E5" s="299">
        <v>75660</v>
      </c>
      <c r="F5" s="299">
        <v>70372</v>
      </c>
      <c r="G5" s="299">
        <v>88330</v>
      </c>
      <c r="H5" s="299">
        <v>118410</v>
      </c>
      <c r="I5" s="300">
        <v>141858</v>
      </c>
      <c r="J5" s="299">
        <f>'Revenue Model'!J3</f>
        <v>145471.70000000001</v>
      </c>
      <c r="K5" s="299">
        <f>'Revenue Model'!K3</f>
        <v>145107.70000000001</v>
      </c>
      <c r="L5" s="299">
        <f>'Revenue Model'!L3</f>
        <v>144984.70000000001</v>
      </c>
      <c r="M5" s="299">
        <f>'Revenue Model'!M3</f>
        <v>146605.35</v>
      </c>
      <c r="N5" s="300">
        <f>'Revenue Model'!N3</f>
        <v>149869.70000000001</v>
      </c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6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</row>
    <row r="6" spans="1:101" s="301" customFormat="1" ht="15" thickBot="1">
      <c r="A6" s="446"/>
      <c r="B6" s="298" t="s">
        <v>56</v>
      </c>
      <c r="C6" s="299">
        <v>1672</v>
      </c>
      <c r="D6" s="299">
        <v>1145</v>
      </c>
      <c r="E6" s="299">
        <v>3334</v>
      </c>
      <c r="F6" s="299">
        <v>2936</v>
      </c>
      <c r="G6" s="299">
        <v>1745</v>
      </c>
      <c r="H6" s="299">
        <v>2265</v>
      </c>
      <c r="I6" s="300">
        <v>4094</v>
      </c>
      <c r="J6" s="299">
        <f>Assumptions!J4</f>
        <v>4743.1465707428879</v>
      </c>
      <c r="K6" s="299">
        <f>Assumptions!K4</f>
        <v>4317.6636418753014</v>
      </c>
      <c r="L6" s="299">
        <f>Assumptions!L4</f>
        <v>4006.0407581308177</v>
      </c>
      <c r="M6" s="299">
        <f>Assumptions!M4</f>
        <v>4190.8343298008676</v>
      </c>
      <c r="N6" s="300">
        <f>Assumptions!N4</f>
        <v>4463.6282424100591</v>
      </c>
      <c r="O6" s="446"/>
      <c r="P6" s="446"/>
      <c r="Q6" s="446"/>
      <c r="R6" s="446"/>
      <c r="S6" s="446"/>
      <c r="T6" s="446"/>
      <c r="U6" s="446"/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  <c r="BF6" s="446"/>
      <c r="BG6" s="446"/>
      <c r="BH6" s="446"/>
      <c r="BI6" s="446"/>
      <c r="BJ6" s="446"/>
      <c r="BK6" s="446"/>
      <c r="BL6" s="446"/>
      <c r="BM6" s="446"/>
      <c r="BN6" s="446"/>
      <c r="BO6" s="446"/>
      <c r="BP6" s="446"/>
      <c r="BQ6" s="446"/>
      <c r="BR6" s="446"/>
      <c r="BS6" s="446"/>
      <c r="BT6" s="446"/>
      <c r="BU6" s="446"/>
      <c r="BV6" s="446"/>
      <c r="BW6" s="446"/>
      <c r="BX6" s="446"/>
      <c r="BY6" s="446"/>
      <c r="BZ6" s="446"/>
      <c r="CA6" s="446"/>
      <c r="CB6" s="446"/>
      <c r="CC6" s="446"/>
      <c r="CD6" s="446"/>
      <c r="CE6" s="446"/>
      <c r="CF6" s="446"/>
      <c r="CG6" s="446"/>
      <c r="CH6" s="446"/>
      <c r="CI6" s="446"/>
      <c r="CJ6" s="446"/>
      <c r="CK6" s="446"/>
      <c r="CL6" s="446"/>
      <c r="CM6" s="446"/>
      <c r="CN6" s="446"/>
      <c r="CO6" s="446"/>
      <c r="CP6" s="446"/>
      <c r="CQ6" s="446"/>
      <c r="CR6" s="446"/>
      <c r="CS6" s="446"/>
      <c r="CT6" s="446"/>
      <c r="CU6" s="446"/>
      <c r="CV6" s="446"/>
      <c r="CW6" s="446"/>
    </row>
    <row r="7" spans="1:101" ht="15" thickBot="1">
      <c r="A7" s="446"/>
      <c r="B7" s="38" t="s">
        <v>57</v>
      </c>
      <c r="C7" s="39">
        <f>SUM(C5:C6)</f>
        <v>48433</v>
      </c>
      <c r="D7" s="39">
        <f>SUM(D5:D6)</f>
        <v>60181</v>
      </c>
      <c r="E7" s="39">
        <f>SUM(E5:E6)</f>
        <v>78994</v>
      </c>
      <c r="F7" s="39">
        <f>SUM(F5:F6)</f>
        <v>73308</v>
      </c>
      <c r="G7" s="39">
        <f t="shared" ref="G7:L7" si="0">SUM(G5:G6)</f>
        <v>90075</v>
      </c>
      <c r="H7" s="39">
        <f t="shared" si="0"/>
        <v>120675</v>
      </c>
      <c r="I7" s="40">
        <f t="shared" si="0"/>
        <v>145952</v>
      </c>
      <c r="J7" s="39">
        <f t="shared" si="0"/>
        <v>150214.8465707429</v>
      </c>
      <c r="K7" s="39">
        <f t="shared" si="0"/>
        <v>149425.3636418753</v>
      </c>
      <c r="L7" s="39">
        <f t="shared" si="0"/>
        <v>148990.74075813082</v>
      </c>
      <c r="M7" s="39">
        <f>SUM(M5:M6)</f>
        <v>150796.18432980086</v>
      </c>
      <c r="N7" s="40">
        <f>SUM(N5:N6)</f>
        <v>154333.32824241006</v>
      </c>
      <c r="O7" s="247"/>
      <c r="R7" s="446"/>
      <c r="S7" s="446"/>
      <c r="T7" s="446"/>
      <c r="U7" s="446"/>
      <c r="V7" s="446"/>
      <c r="W7" s="446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  <c r="BF7" s="446"/>
      <c r="BG7" s="446"/>
      <c r="BH7" s="446"/>
      <c r="BI7" s="446"/>
      <c r="BJ7" s="446"/>
      <c r="BK7" s="446"/>
      <c r="BL7" s="446"/>
      <c r="BM7" s="446"/>
      <c r="BN7" s="446"/>
      <c r="BO7" s="446"/>
      <c r="BP7" s="446"/>
      <c r="BQ7" s="446"/>
      <c r="BR7" s="446"/>
      <c r="BS7" s="446"/>
      <c r="BT7" s="446"/>
      <c r="BU7" s="446"/>
      <c r="BV7" s="446"/>
      <c r="BW7" s="446"/>
      <c r="BX7" s="446"/>
      <c r="BY7" s="446"/>
      <c r="BZ7" s="446"/>
      <c r="CA7" s="446"/>
      <c r="CB7" s="446"/>
      <c r="CC7" s="446"/>
      <c r="CD7" s="446"/>
      <c r="CE7" s="446"/>
      <c r="CF7" s="446"/>
      <c r="CG7" s="446"/>
      <c r="CH7" s="446"/>
      <c r="CI7" s="446"/>
      <c r="CJ7" s="446"/>
      <c r="CK7" s="446"/>
      <c r="CL7" s="446"/>
      <c r="CM7" s="446"/>
      <c r="CN7" s="446"/>
      <c r="CO7" s="446"/>
      <c r="CP7" s="446"/>
      <c r="CQ7" s="446"/>
      <c r="CR7" s="446"/>
      <c r="CS7" s="446"/>
      <c r="CT7" s="446"/>
      <c r="CU7" s="446"/>
      <c r="CV7" s="446"/>
      <c r="CW7" s="446"/>
    </row>
    <row r="8" spans="1:101">
      <c r="A8" s="446"/>
      <c r="B8" s="33"/>
      <c r="C8" s="29"/>
      <c r="D8" s="29"/>
      <c r="E8" s="29"/>
      <c r="F8" s="29"/>
      <c r="G8" s="29"/>
      <c r="H8" s="29"/>
      <c r="I8" s="30"/>
      <c r="J8" s="29"/>
      <c r="K8" s="29"/>
      <c r="L8" s="29"/>
      <c r="M8" s="29"/>
      <c r="N8" s="43"/>
      <c r="R8" s="446"/>
      <c r="S8" s="446"/>
      <c r="T8" s="446"/>
      <c r="U8" s="446"/>
      <c r="V8" s="446"/>
      <c r="W8" s="446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  <c r="BF8" s="446"/>
      <c r="BG8" s="446"/>
      <c r="BH8" s="446"/>
      <c r="BI8" s="446"/>
      <c r="BJ8" s="446"/>
      <c r="BK8" s="446"/>
      <c r="BL8" s="446"/>
      <c r="BM8" s="446"/>
      <c r="BN8" s="446"/>
      <c r="BO8" s="446"/>
      <c r="BP8" s="446"/>
      <c r="BQ8" s="446"/>
      <c r="BR8" s="446"/>
      <c r="BS8" s="446"/>
      <c r="BT8" s="446"/>
      <c r="BU8" s="446"/>
      <c r="BV8" s="446"/>
      <c r="BW8" s="446"/>
      <c r="BX8" s="446"/>
      <c r="BY8" s="446"/>
      <c r="BZ8" s="446"/>
      <c r="CA8" s="446"/>
      <c r="CB8" s="446"/>
      <c r="CC8" s="446"/>
      <c r="CD8" s="446"/>
      <c r="CE8" s="446"/>
      <c r="CF8" s="446"/>
      <c r="CG8" s="446"/>
      <c r="CH8" s="446"/>
      <c r="CI8" s="446"/>
      <c r="CJ8" s="446"/>
      <c r="CK8" s="446"/>
      <c r="CL8" s="446"/>
      <c r="CM8" s="446"/>
      <c r="CN8" s="446"/>
      <c r="CO8" s="446"/>
      <c r="CP8" s="446"/>
      <c r="CQ8" s="446"/>
      <c r="CR8" s="446"/>
      <c r="CS8" s="446"/>
      <c r="CT8" s="446"/>
      <c r="CU8" s="446"/>
      <c r="CV8" s="446"/>
      <c r="CW8" s="446"/>
    </row>
    <row r="9" spans="1:101">
      <c r="A9" s="446"/>
      <c r="B9" s="32" t="s">
        <v>58</v>
      </c>
      <c r="C9" s="29"/>
      <c r="D9" s="29"/>
      <c r="E9" s="29"/>
      <c r="F9" s="29"/>
      <c r="G9" s="29"/>
      <c r="H9" s="29"/>
      <c r="I9" s="30"/>
      <c r="J9" s="29"/>
      <c r="K9" s="29"/>
      <c r="L9" s="29"/>
      <c r="M9" s="29"/>
      <c r="N9" s="43"/>
      <c r="R9" s="446"/>
      <c r="S9" s="446"/>
      <c r="T9" s="446"/>
      <c r="U9" s="446"/>
      <c r="V9" s="446"/>
      <c r="W9" s="446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  <c r="BF9" s="446"/>
      <c r="BG9" s="446"/>
      <c r="BH9" s="446"/>
      <c r="BI9" s="446"/>
      <c r="BJ9" s="446"/>
      <c r="BK9" s="446"/>
      <c r="BL9" s="446"/>
      <c r="BM9" s="446"/>
      <c r="BN9" s="446"/>
      <c r="BO9" s="446"/>
      <c r="BP9" s="446"/>
      <c r="BQ9" s="446"/>
      <c r="BR9" s="446"/>
      <c r="BS9" s="446"/>
      <c r="BT9" s="446"/>
      <c r="BU9" s="446"/>
      <c r="BV9" s="446"/>
      <c r="BW9" s="446"/>
      <c r="BX9" s="446"/>
      <c r="BY9" s="446"/>
      <c r="BZ9" s="446"/>
      <c r="CA9" s="446"/>
      <c r="CB9" s="446"/>
      <c r="CC9" s="446"/>
      <c r="CD9" s="446"/>
      <c r="CE9" s="446"/>
      <c r="CF9" s="446"/>
      <c r="CG9" s="446"/>
      <c r="CH9" s="446"/>
      <c r="CI9" s="446"/>
      <c r="CJ9" s="446"/>
      <c r="CK9" s="446"/>
      <c r="CL9" s="446"/>
      <c r="CM9" s="446"/>
      <c r="CN9" s="446"/>
      <c r="CO9" s="446"/>
      <c r="CP9" s="446"/>
      <c r="CQ9" s="446"/>
      <c r="CR9" s="446"/>
      <c r="CS9" s="446"/>
      <c r="CT9" s="446"/>
      <c r="CU9" s="446"/>
      <c r="CV9" s="446"/>
      <c r="CW9" s="446"/>
    </row>
    <row r="10" spans="1:101" s="301" customFormat="1">
      <c r="A10" s="446"/>
      <c r="B10" s="298" t="s">
        <v>268</v>
      </c>
      <c r="C10" s="299">
        <v>35254</v>
      </c>
      <c r="D10" s="299">
        <v>38505</v>
      </c>
      <c r="E10" s="299">
        <v>8456</v>
      </c>
      <c r="F10" s="299">
        <v>8208</v>
      </c>
      <c r="G10" s="299">
        <v>9437</v>
      </c>
      <c r="H10" s="299">
        <v>10316</v>
      </c>
      <c r="I10" s="300">
        <v>12083</v>
      </c>
      <c r="J10" s="299">
        <f>Assumptions!J9</f>
        <v>13403.710494652771</v>
      </c>
      <c r="K10" s="299">
        <f>Assumptions!K9</f>
        <v>14868.778864889911</v>
      </c>
      <c r="L10" s="299">
        <f>Assumptions!L9</f>
        <v>16493.983887610379</v>
      </c>
      <c r="M10" s="299">
        <f>Assumptions!M9</f>
        <v>18296.82901042762</v>
      </c>
      <c r="N10" s="300">
        <f>Assumptions!N9</f>
        <v>20296.730863687495</v>
      </c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  <c r="BF10" s="446"/>
      <c r="BG10" s="446"/>
      <c r="BH10" s="446"/>
      <c r="BI10" s="446"/>
      <c r="BJ10" s="446"/>
      <c r="BK10" s="446"/>
      <c r="BL10" s="446"/>
      <c r="BM10" s="446"/>
      <c r="BN10" s="446"/>
      <c r="BO10" s="446"/>
      <c r="BP10" s="446"/>
      <c r="BQ10" s="446"/>
      <c r="BR10" s="446"/>
      <c r="BS10" s="446"/>
      <c r="BT10" s="446"/>
      <c r="BU10" s="446"/>
      <c r="BV10" s="446"/>
      <c r="BW10" s="446"/>
      <c r="BX10" s="446"/>
      <c r="BY10" s="446"/>
      <c r="BZ10" s="446"/>
      <c r="CA10" s="446"/>
      <c r="CB10" s="446"/>
      <c r="CC10" s="446"/>
      <c r="CD10" s="446"/>
      <c r="CE10" s="446"/>
      <c r="CF10" s="446"/>
      <c r="CG10" s="446"/>
      <c r="CH10" s="446"/>
      <c r="CI10" s="446"/>
      <c r="CJ10" s="446"/>
      <c r="CK10" s="446"/>
      <c r="CL10" s="446"/>
      <c r="CM10" s="446"/>
      <c r="CN10" s="446"/>
      <c r="CO10" s="446"/>
      <c r="CP10" s="446"/>
      <c r="CQ10" s="446"/>
      <c r="CR10" s="446"/>
      <c r="CS10" s="446"/>
      <c r="CT10" s="446"/>
      <c r="CU10" s="446"/>
      <c r="CV10" s="446"/>
      <c r="CW10" s="446"/>
    </row>
    <row r="11" spans="1:101" s="301" customFormat="1">
      <c r="A11" s="446"/>
      <c r="B11" s="298" t="s">
        <v>59</v>
      </c>
      <c r="C11" s="299">
        <v>687</v>
      </c>
      <c r="D11" s="299">
        <v>2478</v>
      </c>
      <c r="E11" s="299">
        <v>3528</v>
      </c>
      <c r="F11" s="299">
        <v>3034</v>
      </c>
      <c r="G11" s="299">
        <v>2789</v>
      </c>
      <c r="H11" s="299">
        <v>4846</v>
      </c>
      <c r="I11" s="300">
        <v>5256</v>
      </c>
      <c r="J11" s="299">
        <f>Schedules_Populated!J94</f>
        <v>6453.3954093502152</v>
      </c>
      <c r="K11" s="299">
        <f>Schedules_Populated!K94</f>
        <v>6977.0334097070099</v>
      </c>
      <c r="L11" s="299">
        <f>Schedules_Populated!L94</f>
        <v>8146.8452960930135</v>
      </c>
      <c r="M11" s="299">
        <f>Schedules_Populated!M94</f>
        <v>9146.1260229708751</v>
      </c>
      <c r="N11" s="300">
        <f>Schedules_Populated!N94</f>
        <v>10473.12805272782</v>
      </c>
      <c r="O11" s="446"/>
      <c r="P11" s="446" t="s">
        <v>216</v>
      </c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  <c r="BF11" s="446"/>
      <c r="BG11" s="446"/>
      <c r="BH11" s="446"/>
      <c r="BI11" s="446"/>
      <c r="BJ11" s="446"/>
      <c r="BK11" s="446"/>
      <c r="BL11" s="446"/>
      <c r="BM11" s="446"/>
      <c r="BN11" s="446"/>
      <c r="BO11" s="446"/>
      <c r="BP11" s="446"/>
      <c r="BQ11" s="446"/>
      <c r="BR11" s="446"/>
      <c r="BS11" s="446"/>
      <c r="BT11" s="446"/>
      <c r="BU11" s="446"/>
      <c r="BV11" s="446"/>
      <c r="BW11" s="446"/>
      <c r="BX11" s="446"/>
      <c r="BY11" s="446"/>
      <c r="BZ11" s="446"/>
      <c r="CA11" s="446"/>
      <c r="CB11" s="446"/>
      <c r="CC11" s="446"/>
      <c r="CD11" s="446"/>
      <c r="CE11" s="446"/>
      <c r="CF11" s="446"/>
      <c r="CG11" s="446"/>
      <c r="CH11" s="446"/>
      <c r="CI11" s="446"/>
      <c r="CJ11" s="446"/>
      <c r="CK11" s="446"/>
      <c r="CL11" s="446"/>
      <c r="CM11" s="446"/>
      <c r="CN11" s="446"/>
      <c r="CO11" s="446"/>
      <c r="CP11" s="446"/>
      <c r="CQ11" s="446"/>
      <c r="CR11" s="446"/>
      <c r="CS11" s="446"/>
      <c r="CT11" s="446"/>
      <c r="CU11" s="446"/>
      <c r="CV11" s="446"/>
      <c r="CW11" s="446"/>
    </row>
    <row r="12" spans="1:101" s="301" customFormat="1">
      <c r="A12" s="446"/>
      <c r="B12" s="298" t="s">
        <v>240</v>
      </c>
      <c r="C12" s="299"/>
      <c r="D12" s="299"/>
      <c r="E12" s="366">
        <v>134</v>
      </c>
      <c r="F12" s="299">
        <v>102</v>
      </c>
      <c r="G12" s="299">
        <v>127</v>
      </c>
      <c r="H12" s="299">
        <v>252</v>
      </c>
      <c r="I12" s="300">
        <v>194</v>
      </c>
      <c r="J12" s="299">
        <f>Schedules_Populated!J53</f>
        <v>208.4221303421381</v>
      </c>
      <c r="K12" s="299">
        <f>Schedules_Populated!K53</f>
        <v>208.00119655366024</v>
      </c>
      <c r="L12" s="299">
        <f>Schedules_Populated!L53</f>
        <v>232.38795254177526</v>
      </c>
      <c r="M12" s="299">
        <f>Schedules_Populated!M53</f>
        <v>242.84088468463722</v>
      </c>
      <c r="N12" s="299">
        <f>Schedules_Populated!N53</f>
        <v>240.07668329808814</v>
      </c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  <c r="BF12" s="446"/>
      <c r="BG12" s="446"/>
      <c r="BH12" s="446"/>
      <c r="BI12" s="446"/>
      <c r="BJ12" s="446"/>
      <c r="BK12" s="446"/>
      <c r="BL12" s="446"/>
      <c r="BM12" s="446"/>
      <c r="BN12" s="446"/>
      <c r="BO12" s="446"/>
      <c r="BP12" s="446"/>
      <c r="BQ12" s="446"/>
      <c r="BR12" s="446"/>
      <c r="BS12" s="446"/>
      <c r="BT12" s="446"/>
      <c r="BU12" s="446"/>
      <c r="BV12" s="446"/>
      <c r="BW12" s="446"/>
      <c r="BX12" s="446"/>
      <c r="BY12" s="446"/>
      <c r="BZ12" s="446"/>
      <c r="CA12" s="446"/>
      <c r="CB12" s="446"/>
      <c r="CC12" s="446"/>
      <c r="CD12" s="446"/>
      <c r="CE12" s="446"/>
      <c r="CF12" s="446"/>
      <c r="CG12" s="446"/>
      <c r="CH12" s="446"/>
      <c r="CI12" s="446"/>
      <c r="CJ12" s="446"/>
      <c r="CK12" s="446"/>
      <c r="CL12" s="446"/>
      <c r="CM12" s="446"/>
      <c r="CN12" s="446"/>
      <c r="CO12" s="446"/>
      <c r="CP12" s="446"/>
      <c r="CQ12" s="446"/>
      <c r="CR12" s="446"/>
      <c r="CS12" s="446"/>
      <c r="CT12" s="446"/>
      <c r="CU12" s="446"/>
      <c r="CV12" s="446"/>
      <c r="CW12" s="446"/>
    </row>
    <row r="13" spans="1:101" s="301" customFormat="1" ht="15" thickBot="1">
      <c r="A13" s="446"/>
      <c r="B13" s="298" t="s">
        <v>269</v>
      </c>
      <c r="C13" s="299">
        <f>13527+335</f>
        <v>13862</v>
      </c>
      <c r="D13" s="299">
        <v>15048</v>
      </c>
      <c r="E13" s="299">
        <f>63554-134</f>
        <v>63420</v>
      </c>
      <c r="F13" s="299">
        <f>59948-102</f>
        <v>59846</v>
      </c>
      <c r="G13" s="299">
        <f>76103-127</f>
        <v>75976</v>
      </c>
      <c r="H13" s="299">
        <f>100098-252</f>
        <v>99846</v>
      </c>
      <c r="I13" s="300">
        <f>116699-194</f>
        <v>116505</v>
      </c>
      <c r="J13" s="299">
        <f>Assumptions!J13-208</f>
        <v>131387.57923582644</v>
      </c>
      <c r="K13" s="299">
        <f>Assumptions!K13-208</f>
        <v>132129.54412735073</v>
      </c>
      <c r="L13" s="299">
        <f>Assumptions!L13-232</f>
        <v>134530.0997061216</v>
      </c>
      <c r="M13" s="299">
        <f>Assumptions!M13-243</f>
        <v>134387.59930497262</v>
      </c>
      <c r="N13" s="300">
        <f>Assumptions!N13-240</f>
        <v>135386.48630620283</v>
      </c>
      <c r="O13" s="446"/>
      <c r="P13" s="446"/>
      <c r="Q13" s="446"/>
      <c r="R13" s="446"/>
      <c r="S13" s="446"/>
      <c r="T13" s="446"/>
      <c r="U13" s="446"/>
      <c r="V13" s="446"/>
      <c r="W13" s="446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  <c r="BF13" s="446"/>
      <c r="BG13" s="446"/>
      <c r="BH13" s="446"/>
      <c r="BI13" s="446"/>
      <c r="BJ13" s="446"/>
      <c r="BK13" s="446"/>
      <c r="BL13" s="446"/>
      <c r="BM13" s="446"/>
      <c r="BN13" s="446"/>
      <c r="BO13" s="446"/>
      <c r="BP13" s="446"/>
      <c r="BQ13" s="446"/>
      <c r="BR13" s="446"/>
      <c r="BS13" s="446"/>
      <c r="BT13" s="446"/>
      <c r="BU13" s="446"/>
      <c r="BV13" s="446"/>
      <c r="BW13" s="446"/>
      <c r="BX13" s="446"/>
      <c r="BY13" s="446"/>
      <c r="BZ13" s="446"/>
      <c r="CA13" s="446"/>
      <c r="CB13" s="446"/>
      <c r="CC13" s="446"/>
      <c r="CD13" s="446"/>
      <c r="CE13" s="446"/>
      <c r="CF13" s="446"/>
      <c r="CG13" s="446"/>
      <c r="CH13" s="446"/>
      <c r="CI13" s="446"/>
      <c r="CJ13" s="446"/>
      <c r="CK13" s="446"/>
      <c r="CL13" s="446"/>
      <c r="CM13" s="446"/>
      <c r="CN13" s="446"/>
      <c r="CO13" s="446"/>
      <c r="CP13" s="446"/>
      <c r="CQ13" s="446"/>
      <c r="CR13" s="446"/>
      <c r="CS13" s="446"/>
      <c r="CT13" s="446"/>
      <c r="CU13" s="446"/>
      <c r="CV13" s="446"/>
      <c r="CW13" s="446"/>
    </row>
    <row r="14" spans="1:101" ht="15" thickBot="1">
      <c r="B14" s="38" t="s">
        <v>60</v>
      </c>
      <c r="C14" s="39">
        <f t="shared" ref="C14:N14" si="1">SUM(C10:C13)</f>
        <v>49803</v>
      </c>
      <c r="D14" s="39">
        <f t="shared" si="1"/>
        <v>56031</v>
      </c>
      <c r="E14" s="39">
        <f t="shared" si="1"/>
        <v>75538</v>
      </c>
      <c r="F14" s="39">
        <f t="shared" si="1"/>
        <v>71190</v>
      </c>
      <c r="G14" s="39">
        <f t="shared" si="1"/>
        <v>88329</v>
      </c>
      <c r="H14" s="39">
        <f t="shared" si="1"/>
        <v>115260</v>
      </c>
      <c r="I14" s="40">
        <f t="shared" si="1"/>
        <v>134038</v>
      </c>
      <c r="J14" s="39">
        <f t="shared" si="1"/>
        <v>151453.10727017157</v>
      </c>
      <c r="K14" s="39">
        <f t="shared" si="1"/>
        <v>154183.35759850132</v>
      </c>
      <c r="L14" s="39">
        <f t="shared" si="1"/>
        <v>159403.31684236677</v>
      </c>
      <c r="M14" s="39">
        <f t="shared" si="1"/>
        <v>162073.39522305576</v>
      </c>
      <c r="N14" s="40">
        <f t="shared" si="1"/>
        <v>166396.42190591624</v>
      </c>
      <c r="R14" s="446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  <c r="BF14" s="446"/>
      <c r="BG14" s="446"/>
      <c r="BH14" s="446"/>
      <c r="BI14" s="446"/>
      <c r="BJ14" s="446"/>
      <c r="BK14" s="446"/>
      <c r="BL14" s="446"/>
      <c r="BM14" s="446"/>
      <c r="BN14" s="446"/>
      <c r="BO14" s="446"/>
      <c r="BP14" s="446"/>
      <c r="BQ14" s="446"/>
      <c r="BR14" s="446"/>
      <c r="BS14" s="446"/>
      <c r="BT14" s="446"/>
      <c r="BU14" s="446"/>
      <c r="BV14" s="446"/>
      <c r="BW14" s="446"/>
      <c r="BX14" s="446"/>
      <c r="BY14" s="446"/>
      <c r="BZ14" s="446"/>
      <c r="CA14" s="446"/>
      <c r="CB14" s="446"/>
      <c r="CC14" s="446"/>
      <c r="CD14" s="446"/>
      <c r="CE14" s="446"/>
      <c r="CF14" s="446"/>
      <c r="CG14" s="446"/>
      <c r="CH14" s="446"/>
      <c r="CI14" s="446"/>
      <c r="CJ14" s="446"/>
      <c r="CK14" s="446"/>
      <c r="CL14" s="446"/>
      <c r="CM14" s="446"/>
      <c r="CN14" s="446"/>
      <c r="CO14" s="446"/>
      <c r="CP14" s="446"/>
      <c r="CQ14" s="446"/>
      <c r="CR14" s="446"/>
      <c r="CS14" s="446"/>
      <c r="CT14" s="446"/>
      <c r="CU14" s="446"/>
      <c r="CV14" s="446"/>
      <c r="CW14" s="446"/>
    </row>
    <row r="15" spans="1:101">
      <c r="B15" s="33"/>
      <c r="C15" s="29"/>
      <c r="D15" s="29"/>
      <c r="E15" s="29"/>
      <c r="F15" s="29"/>
      <c r="G15" s="29"/>
      <c r="H15" s="29"/>
      <c r="I15" s="30"/>
      <c r="J15" s="29"/>
      <c r="K15" s="29"/>
      <c r="L15" s="29"/>
      <c r="M15" s="29"/>
      <c r="N15" s="43"/>
      <c r="R15" s="446"/>
      <c r="S15" s="446"/>
      <c r="T15" s="446"/>
      <c r="U15" s="446"/>
      <c r="V15" s="446"/>
      <c r="W15" s="446"/>
      <c r="X15" s="446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  <c r="BF15" s="446"/>
      <c r="BG15" s="446"/>
      <c r="BH15" s="446"/>
      <c r="BI15" s="446"/>
      <c r="BJ15" s="446"/>
      <c r="BK15" s="446"/>
      <c r="BL15" s="446"/>
      <c r="BM15" s="446"/>
      <c r="BN15" s="446"/>
      <c r="BO15" s="446"/>
      <c r="BP15" s="446"/>
      <c r="BQ15" s="446"/>
      <c r="BR15" s="446"/>
      <c r="BS15" s="446"/>
      <c r="BT15" s="446"/>
      <c r="BU15" s="446"/>
      <c r="BV15" s="446"/>
      <c r="BW15" s="446"/>
      <c r="BX15" s="446"/>
      <c r="BY15" s="446"/>
      <c r="BZ15" s="446"/>
      <c r="CA15" s="446"/>
      <c r="CB15" s="446"/>
      <c r="CC15" s="446"/>
      <c r="CD15" s="446"/>
      <c r="CE15" s="446"/>
      <c r="CF15" s="446"/>
      <c r="CG15" s="446"/>
      <c r="CH15" s="446"/>
      <c r="CI15" s="446"/>
      <c r="CJ15" s="446"/>
      <c r="CK15" s="446"/>
      <c r="CL15" s="446"/>
      <c r="CM15" s="446"/>
      <c r="CN15" s="446"/>
      <c r="CO15" s="446"/>
      <c r="CP15" s="446"/>
      <c r="CQ15" s="446"/>
      <c r="CR15" s="446"/>
      <c r="CS15" s="446"/>
      <c r="CT15" s="446"/>
      <c r="CU15" s="446"/>
      <c r="CV15" s="446"/>
      <c r="CW15" s="446"/>
    </row>
    <row r="16" spans="1:101">
      <c r="B16" s="32" t="s">
        <v>175</v>
      </c>
      <c r="C16" s="36">
        <f>C7-C14</f>
        <v>-1370</v>
      </c>
      <c r="D16" s="36">
        <f>D7-D14</f>
        <v>4150</v>
      </c>
      <c r="E16" s="36">
        <v>7237</v>
      </c>
      <c r="F16" s="36">
        <v>5423</v>
      </c>
      <c r="G16" s="36">
        <v>4824</v>
      </c>
      <c r="H16" s="36">
        <v>10691</v>
      </c>
      <c r="I16" s="86">
        <v>17618</v>
      </c>
      <c r="J16" s="36">
        <v>26427</v>
      </c>
      <c r="K16" s="36">
        <v>38055</v>
      </c>
      <c r="L16" s="36">
        <v>51755</v>
      </c>
      <c r="M16" s="36">
        <v>67281</v>
      </c>
      <c r="N16" s="36">
        <v>84774</v>
      </c>
      <c r="P16" s="25" t="s">
        <v>111</v>
      </c>
      <c r="R16" s="446"/>
      <c r="S16" s="446"/>
      <c r="T16" s="446"/>
      <c r="U16" s="446"/>
      <c r="V16" s="446"/>
      <c r="W16" s="446"/>
      <c r="X16" s="446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  <c r="BF16" s="446"/>
      <c r="BG16" s="446"/>
      <c r="BH16" s="446"/>
      <c r="BI16" s="446"/>
      <c r="BJ16" s="446"/>
      <c r="BK16" s="446"/>
      <c r="BL16" s="446"/>
      <c r="BM16" s="446"/>
      <c r="BN16" s="446"/>
      <c r="BO16" s="446"/>
      <c r="BP16" s="446"/>
      <c r="BQ16" s="446"/>
      <c r="BR16" s="446"/>
      <c r="BS16" s="446"/>
      <c r="BT16" s="446"/>
      <c r="BU16" s="446"/>
      <c r="BV16" s="446"/>
      <c r="BW16" s="446"/>
      <c r="BX16" s="446"/>
      <c r="BY16" s="446"/>
      <c r="BZ16" s="446"/>
      <c r="CA16" s="446"/>
      <c r="CB16" s="446"/>
      <c r="CC16" s="446"/>
      <c r="CD16" s="446"/>
      <c r="CE16" s="446"/>
      <c r="CF16" s="446"/>
      <c r="CG16" s="446"/>
      <c r="CH16" s="446"/>
      <c r="CI16" s="446"/>
      <c r="CJ16" s="446"/>
      <c r="CK16" s="446"/>
      <c r="CL16" s="446"/>
      <c r="CM16" s="446"/>
      <c r="CN16" s="446"/>
      <c r="CO16" s="446"/>
      <c r="CP16" s="446"/>
      <c r="CQ16" s="446"/>
      <c r="CR16" s="446"/>
      <c r="CS16" s="446"/>
      <c r="CT16" s="446"/>
      <c r="CU16" s="446"/>
      <c r="CV16" s="446"/>
      <c r="CW16" s="446"/>
    </row>
    <row r="17" spans="1:101" s="301" customFormat="1" ht="15" thickBot="1">
      <c r="A17" s="446"/>
      <c r="B17" s="298" t="s">
        <v>271</v>
      </c>
      <c r="C17" s="299">
        <v>0</v>
      </c>
      <c r="D17" s="299">
        <v>1258</v>
      </c>
      <c r="E17" s="299">
        <f>E12</f>
        <v>134</v>
      </c>
      <c r="F17" s="299">
        <f t="shared" ref="F17:N17" si="2">F12</f>
        <v>102</v>
      </c>
      <c r="G17" s="299">
        <f t="shared" si="2"/>
        <v>127</v>
      </c>
      <c r="H17" s="299">
        <f t="shared" si="2"/>
        <v>252</v>
      </c>
      <c r="I17" s="299">
        <f t="shared" si="2"/>
        <v>194</v>
      </c>
      <c r="J17" s="299">
        <f t="shared" si="2"/>
        <v>208.4221303421381</v>
      </c>
      <c r="K17" s="299">
        <f t="shared" si="2"/>
        <v>208.00119655366024</v>
      </c>
      <c r="L17" s="299">
        <f t="shared" si="2"/>
        <v>232.38795254177526</v>
      </c>
      <c r="M17" s="299">
        <f t="shared" si="2"/>
        <v>242.84088468463722</v>
      </c>
      <c r="N17" s="299">
        <f t="shared" si="2"/>
        <v>240.07668329808814</v>
      </c>
      <c r="O17" s="446"/>
      <c r="P17" s="446" t="s">
        <v>217</v>
      </c>
      <c r="Q17" s="446"/>
      <c r="R17" s="446"/>
      <c r="S17" s="446"/>
      <c r="T17" s="446"/>
      <c r="U17" s="446"/>
      <c r="V17" s="446"/>
      <c r="W17" s="446"/>
      <c r="X17" s="446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  <c r="BF17" s="446"/>
      <c r="BG17" s="446"/>
      <c r="BH17" s="446"/>
      <c r="BI17" s="446"/>
      <c r="BJ17" s="446"/>
      <c r="BK17" s="446"/>
      <c r="BL17" s="446"/>
      <c r="BM17" s="446"/>
      <c r="BN17" s="446"/>
      <c r="BO17" s="446"/>
      <c r="BP17" s="446"/>
      <c r="BQ17" s="446"/>
      <c r="BR17" s="446"/>
      <c r="BS17" s="446"/>
      <c r="BT17" s="446"/>
      <c r="BU17" s="446"/>
      <c r="BV17" s="446"/>
      <c r="BW17" s="446"/>
      <c r="BX17" s="446"/>
      <c r="BY17" s="446"/>
      <c r="BZ17" s="446"/>
      <c r="CA17" s="446"/>
      <c r="CB17" s="446"/>
      <c r="CC17" s="446"/>
      <c r="CD17" s="446"/>
      <c r="CE17" s="446"/>
      <c r="CF17" s="446"/>
      <c r="CG17" s="446"/>
      <c r="CH17" s="446"/>
      <c r="CI17" s="446"/>
      <c r="CJ17" s="446"/>
      <c r="CK17" s="446"/>
      <c r="CL17" s="446"/>
      <c r="CM17" s="446"/>
      <c r="CN17" s="446"/>
      <c r="CO17" s="446"/>
      <c r="CP17" s="446"/>
      <c r="CQ17" s="446"/>
      <c r="CR17" s="446"/>
      <c r="CS17" s="446"/>
      <c r="CT17" s="446"/>
      <c r="CU17" s="446"/>
      <c r="CV17" s="446"/>
      <c r="CW17" s="446"/>
    </row>
    <row r="18" spans="1:101" ht="15" thickBot="1">
      <c r="B18" s="38" t="s">
        <v>62</v>
      </c>
      <c r="C18" s="39">
        <f t="shared" ref="C18:N18" si="3">C16-C17</f>
        <v>-1370</v>
      </c>
      <c r="D18" s="39">
        <f t="shared" si="3"/>
        <v>2892</v>
      </c>
      <c r="E18" s="39">
        <f>E16-E17</f>
        <v>7103</v>
      </c>
      <c r="F18" s="39">
        <f t="shared" si="3"/>
        <v>5321</v>
      </c>
      <c r="G18" s="39">
        <f t="shared" si="3"/>
        <v>4697</v>
      </c>
      <c r="H18" s="39">
        <f t="shared" si="3"/>
        <v>10439</v>
      </c>
      <c r="I18" s="40">
        <f t="shared" si="3"/>
        <v>17424</v>
      </c>
      <c r="J18" s="39">
        <f t="shared" si="3"/>
        <v>26218.577869657864</v>
      </c>
      <c r="K18" s="39">
        <f t="shared" si="3"/>
        <v>37846.998803446339</v>
      </c>
      <c r="L18" s="39">
        <f t="shared" si="3"/>
        <v>51522.612047458228</v>
      </c>
      <c r="M18" s="39">
        <f t="shared" si="3"/>
        <v>67038.159115315357</v>
      </c>
      <c r="N18" s="40">
        <f t="shared" si="3"/>
        <v>84533.923316701912</v>
      </c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  <c r="BF18" s="446"/>
      <c r="BG18" s="446"/>
      <c r="BH18" s="446"/>
      <c r="BI18" s="446"/>
      <c r="BJ18" s="446"/>
      <c r="BK18" s="446"/>
      <c r="BL18" s="446"/>
      <c r="BM18" s="446"/>
      <c r="BN18" s="446"/>
      <c r="BO18" s="446"/>
      <c r="BP18" s="446"/>
      <c r="BQ18" s="446"/>
      <c r="BR18" s="446"/>
      <c r="BS18" s="446"/>
      <c r="BT18" s="446"/>
      <c r="BU18" s="446"/>
      <c r="BV18" s="446"/>
      <c r="BW18" s="446"/>
      <c r="BX18" s="446"/>
      <c r="BY18" s="446"/>
      <c r="BZ18" s="446"/>
      <c r="CA18" s="446"/>
      <c r="CB18" s="446"/>
      <c r="CC18" s="446"/>
      <c r="CD18" s="446"/>
      <c r="CE18" s="446"/>
      <c r="CF18" s="446"/>
      <c r="CG18" s="446"/>
      <c r="CH18" s="446"/>
      <c r="CI18" s="446"/>
      <c r="CJ18" s="446"/>
      <c r="CK18" s="446"/>
      <c r="CL18" s="446"/>
      <c r="CM18" s="446"/>
      <c r="CN18" s="446"/>
      <c r="CO18" s="446"/>
      <c r="CP18" s="446"/>
      <c r="CQ18" s="446"/>
      <c r="CR18" s="446"/>
      <c r="CS18" s="446"/>
      <c r="CT18" s="446"/>
      <c r="CU18" s="446"/>
      <c r="CV18" s="446"/>
      <c r="CW18" s="446"/>
    </row>
    <row r="19" spans="1:101">
      <c r="B19" s="31"/>
      <c r="C19" s="27"/>
      <c r="D19" s="27"/>
      <c r="E19" s="27"/>
      <c r="F19" s="27"/>
      <c r="G19" s="27"/>
      <c r="H19" s="27"/>
      <c r="I19" s="248"/>
      <c r="J19" s="27"/>
      <c r="K19" s="27"/>
      <c r="L19" s="27"/>
      <c r="M19" s="27"/>
      <c r="N19" s="71"/>
      <c r="O19" s="446"/>
      <c r="P19" s="446"/>
      <c r="Q19" s="446"/>
      <c r="R19" s="446"/>
      <c r="S19" s="446"/>
      <c r="T19" s="446"/>
      <c r="U19" s="446"/>
      <c r="V19" s="446"/>
      <c r="W19" s="446"/>
      <c r="X19" s="446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  <c r="BF19" s="446"/>
      <c r="BG19" s="446"/>
      <c r="BH19" s="446"/>
      <c r="BI19" s="446"/>
      <c r="BJ19" s="446"/>
      <c r="BK19" s="446"/>
      <c r="BL19" s="446"/>
      <c r="BM19" s="446"/>
      <c r="BN19" s="446"/>
      <c r="BO19" s="446"/>
      <c r="BP19" s="446"/>
      <c r="BQ19" s="446"/>
      <c r="BR19" s="446"/>
      <c r="BS19" s="446"/>
      <c r="BT19" s="446"/>
      <c r="BU19" s="446"/>
      <c r="BV19" s="446"/>
      <c r="BW19" s="446"/>
      <c r="BX19" s="446"/>
      <c r="BY19" s="446"/>
      <c r="BZ19" s="446"/>
      <c r="CA19" s="446"/>
      <c r="CB19" s="446"/>
      <c r="CC19" s="446"/>
      <c r="CD19" s="446"/>
      <c r="CE19" s="446"/>
      <c r="CF19" s="446"/>
      <c r="CG19" s="446"/>
      <c r="CH19" s="446"/>
      <c r="CI19" s="446"/>
      <c r="CJ19" s="446"/>
      <c r="CK19" s="446"/>
      <c r="CL19" s="446"/>
      <c r="CM19" s="446"/>
      <c r="CN19" s="446"/>
      <c r="CO19" s="446"/>
      <c r="CP19" s="446"/>
      <c r="CQ19" s="446"/>
      <c r="CR19" s="446"/>
      <c r="CS19" s="446"/>
      <c r="CT19" s="446"/>
      <c r="CU19" s="446"/>
      <c r="CV19" s="446"/>
      <c r="CW19" s="446"/>
    </row>
    <row r="20" spans="1:101">
      <c r="B20" s="32" t="s">
        <v>63</v>
      </c>
      <c r="C20" s="29"/>
      <c r="D20" s="29"/>
      <c r="E20" s="29"/>
      <c r="F20" s="29"/>
      <c r="G20" s="29"/>
      <c r="H20" s="29"/>
      <c r="I20" s="30"/>
      <c r="J20" s="29"/>
      <c r="K20" s="29"/>
      <c r="L20" s="29"/>
      <c r="M20" s="29"/>
      <c r="N20" s="43"/>
      <c r="O20" s="446"/>
      <c r="P20" s="446"/>
      <c r="Q20" s="446"/>
      <c r="R20" s="446"/>
      <c r="S20" s="446"/>
      <c r="T20" s="446"/>
      <c r="U20" s="446"/>
      <c r="V20" s="446"/>
      <c r="W20" s="446"/>
      <c r="X20" s="446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  <c r="BF20" s="446"/>
      <c r="BG20" s="446"/>
      <c r="BH20" s="446"/>
      <c r="BI20" s="446"/>
      <c r="BJ20" s="446"/>
      <c r="BK20" s="446"/>
      <c r="BL20" s="446"/>
      <c r="BM20" s="446"/>
      <c r="BN20" s="446"/>
      <c r="BO20" s="446"/>
      <c r="BP20" s="446"/>
      <c r="BQ20" s="446"/>
      <c r="BR20" s="446"/>
      <c r="BS20" s="446"/>
      <c r="BT20" s="446"/>
      <c r="BU20" s="446"/>
      <c r="BV20" s="446"/>
      <c r="BW20" s="446"/>
      <c r="BX20" s="446"/>
      <c r="BY20" s="446"/>
      <c r="BZ20" s="446"/>
      <c r="CA20" s="446"/>
      <c r="CB20" s="446"/>
      <c r="CC20" s="446"/>
      <c r="CD20" s="446"/>
      <c r="CE20" s="446"/>
      <c r="CF20" s="446"/>
      <c r="CG20" s="446"/>
      <c r="CH20" s="446"/>
      <c r="CI20" s="446"/>
      <c r="CJ20" s="446"/>
      <c r="CK20" s="446"/>
      <c r="CL20" s="446"/>
      <c r="CM20" s="446"/>
      <c r="CN20" s="446"/>
      <c r="CO20" s="446"/>
      <c r="CP20" s="446"/>
      <c r="CQ20" s="446"/>
      <c r="CR20" s="446"/>
      <c r="CS20" s="446"/>
      <c r="CT20" s="446"/>
      <c r="CU20" s="446"/>
      <c r="CV20" s="446"/>
      <c r="CW20" s="446"/>
    </row>
    <row r="21" spans="1:101">
      <c r="B21" s="28" t="s">
        <v>64</v>
      </c>
      <c r="C21" s="29">
        <v>0</v>
      </c>
      <c r="D21" s="29">
        <v>0</v>
      </c>
      <c r="E21" s="29">
        <v>1376</v>
      </c>
      <c r="F21" s="29">
        <v>1156</v>
      </c>
      <c r="G21" s="29">
        <v>1431</v>
      </c>
      <c r="H21" s="29">
        <v>2249</v>
      </c>
      <c r="I21" s="30">
        <v>3663</v>
      </c>
      <c r="J21" s="34"/>
      <c r="K21" s="34"/>
      <c r="L21" s="34"/>
      <c r="M21" s="34"/>
      <c r="N21" s="35"/>
      <c r="O21" s="446"/>
      <c r="P21" s="446"/>
      <c r="Q21" s="446"/>
      <c r="R21" s="446"/>
      <c r="S21" s="446"/>
      <c r="T21" s="446"/>
      <c r="U21" s="446"/>
      <c r="V21" s="446"/>
      <c r="W21" s="446"/>
      <c r="X21" s="446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  <c r="BF21" s="446"/>
      <c r="BG21" s="446"/>
      <c r="BH21" s="446"/>
      <c r="BI21" s="446"/>
      <c r="BJ21" s="446"/>
      <c r="BK21" s="446"/>
      <c r="BL21" s="446"/>
      <c r="BM21" s="446"/>
      <c r="BN21" s="446"/>
      <c r="BO21" s="446"/>
      <c r="BP21" s="446"/>
      <c r="BQ21" s="446"/>
      <c r="BR21" s="446"/>
      <c r="BS21" s="446"/>
      <c r="BT21" s="446"/>
      <c r="BU21" s="446"/>
      <c r="BV21" s="446"/>
      <c r="BW21" s="446"/>
      <c r="BX21" s="446"/>
      <c r="BY21" s="446"/>
      <c r="BZ21" s="446"/>
      <c r="CA21" s="446"/>
      <c r="CB21" s="446"/>
      <c r="CC21" s="446"/>
      <c r="CD21" s="446"/>
      <c r="CE21" s="446"/>
      <c r="CF21" s="446"/>
      <c r="CG21" s="446"/>
      <c r="CH21" s="446"/>
      <c r="CI21" s="446"/>
      <c r="CJ21" s="446"/>
      <c r="CK21" s="446"/>
      <c r="CL21" s="446"/>
      <c r="CM21" s="446"/>
      <c r="CN21" s="446"/>
      <c r="CO21" s="446"/>
      <c r="CP21" s="446"/>
      <c r="CQ21" s="446"/>
      <c r="CR21" s="446"/>
      <c r="CS21" s="446"/>
      <c r="CT21" s="446"/>
      <c r="CU21" s="446"/>
      <c r="CV21" s="446"/>
      <c r="CW21" s="446"/>
    </row>
    <row r="22" spans="1:101">
      <c r="B22" s="28" t="s">
        <v>65</v>
      </c>
      <c r="C22" s="29">
        <v>0</v>
      </c>
      <c r="D22" s="29">
        <v>0</v>
      </c>
      <c r="E22" s="29">
        <f>0</f>
        <v>0</v>
      </c>
      <c r="F22" s="29">
        <v>0</v>
      </c>
      <c r="G22" s="29">
        <v>0</v>
      </c>
      <c r="H22" s="29">
        <v>0</v>
      </c>
      <c r="I22" s="30">
        <v>0</v>
      </c>
      <c r="J22" s="34"/>
      <c r="K22" s="34"/>
      <c r="L22" s="34"/>
      <c r="M22" s="34"/>
      <c r="N22" s="35"/>
      <c r="O22" s="446"/>
      <c r="P22" s="446"/>
      <c r="Q22" s="446"/>
      <c r="R22" s="446"/>
      <c r="S22" s="446"/>
      <c r="T22" s="446"/>
      <c r="U22" s="446"/>
      <c r="V22" s="446"/>
      <c r="W22" s="446"/>
      <c r="X22" s="446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  <c r="BF22" s="446"/>
      <c r="BG22" s="446"/>
      <c r="BH22" s="446"/>
      <c r="BI22" s="446"/>
      <c r="BJ22" s="446"/>
      <c r="BK22" s="446"/>
      <c r="BL22" s="446"/>
      <c r="BM22" s="446"/>
      <c r="BN22" s="446"/>
      <c r="BO22" s="446"/>
      <c r="BP22" s="446"/>
      <c r="BQ22" s="446"/>
      <c r="BR22" s="446"/>
      <c r="BS22" s="446"/>
      <c r="BT22" s="446"/>
      <c r="BU22" s="446"/>
      <c r="BV22" s="446"/>
      <c r="BW22" s="446"/>
      <c r="BX22" s="446"/>
      <c r="BY22" s="446"/>
      <c r="BZ22" s="446"/>
      <c r="CA22" s="446"/>
      <c r="CB22" s="446"/>
      <c r="CC22" s="446"/>
      <c r="CD22" s="446"/>
      <c r="CE22" s="446"/>
      <c r="CF22" s="446"/>
      <c r="CG22" s="446"/>
      <c r="CH22" s="446"/>
      <c r="CI22" s="446"/>
      <c r="CJ22" s="446"/>
      <c r="CK22" s="446"/>
      <c r="CL22" s="446"/>
      <c r="CM22" s="446"/>
      <c r="CN22" s="446"/>
      <c r="CO22" s="446"/>
      <c r="CP22" s="446"/>
      <c r="CQ22" s="446"/>
      <c r="CR22" s="446"/>
      <c r="CS22" s="446"/>
      <c r="CT22" s="446"/>
      <c r="CU22" s="446"/>
      <c r="CV22" s="446"/>
      <c r="CW22" s="446"/>
    </row>
    <row r="23" spans="1:101">
      <c r="B23" s="28" t="s">
        <v>66</v>
      </c>
      <c r="C23" s="29">
        <v>0</v>
      </c>
      <c r="D23" s="29">
        <v>-123</v>
      </c>
      <c r="E23" s="29">
        <v>48</v>
      </c>
      <c r="F23" s="29">
        <v>-224</v>
      </c>
      <c r="G23" s="29">
        <v>-613</v>
      </c>
      <c r="H23" s="29">
        <v>-138</v>
      </c>
      <c r="I23" s="30">
        <v>-273</v>
      </c>
      <c r="J23" s="34"/>
      <c r="K23" s="34"/>
      <c r="L23" s="34"/>
      <c r="M23" s="34"/>
      <c r="N23" s="35"/>
      <c r="O23" s="446"/>
      <c r="P23" s="446"/>
      <c r="Q23" s="446"/>
      <c r="R23" s="446"/>
      <c r="S23" s="446"/>
      <c r="T23" s="446"/>
      <c r="U23" s="446"/>
      <c r="V23" s="446"/>
      <c r="W23" s="446"/>
      <c r="X23" s="446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  <c r="BF23" s="446"/>
      <c r="BG23" s="446"/>
      <c r="BH23" s="446"/>
      <c r="BI23" s="446"/>
      <c r="BJ23" s="446"/>
      <c r="BK23" s="446"/>
      <c r="BL23" s="446"/>
      <c r="BM23" s="446"/>
      <c r="BN23" s="446"/>
      <c r="BO23" s="446"/>
      <c r="BP23" s="446"/>
      <c r="BQ23" s="446"/>
      <c r="BR23" s="446"/>
      <c r="BS23" s="446"/>
      <c r="BT23" s="446"/>
      <c r="BU23" s="446"/>
      <c r="BV23" s="446"/>
      <c r="BW23" s="446"/>
      <c r="BX23" s="446"/>
      <c r="BY23" s="446"/>
      <c r="BZ23" s="446"/>
      <c r="CA23" s="446"/>
      <c r="CB23" s="446"/>
      <c r="CC23" s="446"/>
      <c r="CD23" s="446"/>
      <c r="CE23" s="446"/>
      <c r="CF23" s="446"/>
      <c r="CG23" s="446"/>
      <c r="CH23" s="446"/>
      <c r="CI23" s="446"/>
      <c r="CJ23" s="446"/>
      <c r="CK23" s="446"/>
      <c r="CL23" s="446"/>
      <c r="CM23" s="446"/>
      <c r="CN23" s="446"/>
      <c r="CO23" s="446"/>
      <c r="CP23" s="446"/>
      <c r="CQ23" s="446"/>
      <c r="CR23" s="446"/>
      <c r="CS23" s="446"/>
      <c r="CT23" s="446"/>
      <c r="CU23" s="446"/>
      <c r="CV23" s="446"/>
      <c r="CW23" s="446"/>
    </row>
    <row r="24" spans="1:101" s="301" customFormat="1" ht="15" thickBot="1">
      <c r="A24" s="446"/>
      <c r="B24" s="355" t="s">
        <v>67</v>
      </c>
      <c r="C24" s="356">
        <f t="shared" ref="C24:I24" si="4">SUM(C21:C23)</f>
        <v>0</v>
      </c>
      <c r="D24" s="356">
        <f t="shared" si="4"/>
        <v>-123</v>
      </c>
      <c r="E24" s="356">
        <f t="shared" si="4"/>
        <v>1424</v>
      </c>
      <c r="F24" s="356">
        <f t="shared" si="4"/>
        <v>932</v>
      </c>
      <c r="G24" s="356">
        <f t="shared" si="4"/>
        <v>818</v>
      </c>
      <c r="H24" s="356">
        <f t="shared" si="4"/>
        <v>2111</v>
      </c>
      <c r="I24" s="357">
        <f t="shared" si="4"/>
        <v>3390</v>
      </c>
      <c r="J24" s="356">
        <f>Assumptions!J18</f>
        <v>6599.2160497928835</v>
      </c>
      <c r="K24" s="356">
        <f>Assumptions!K18</f>
        <v>9526.0895988274424</v>
      </c>
      <c r="L24" s="356">
        <f>Assumptions!L18</f>
        <v>12968.241452345235</v>
      </c>
      <c r="M24" s="356">
        <f>Assumptions!M18</f>
        <v>16873.504649324874</v>
      </c>
      <c r="N24" s="357">
        <f>Assumptions!N18</f>
        <v>21277.18849881387</v>
      </c>
      <c r="O24" s="446"/>
      <c r="P24" s="446"/>
      <c r="Q24" s="446"/>
      <c r="R24" s="446"/>
      <c r="S24" s="446"/>
      <c r="T24" s="446"/>
      <c r="U24" s="446"/>
      <c r="V24" s="446"/>
      <c r="W24" s="446"/>
      <c r="X24" s="446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  <c r="BF24" s="446"/>
      <c r="BG24" s="446"/>
      <c r="BH24" s="446"/>
      <c r="BI24" s="446"/>
      <c r="BJ24" s="446"/>
      <c r="BK24" s="446"/>
      <c r="BL24" s="446"/>
      <c r="BM24" s="446"/>
      <c r="BN24" s="446"/>
      <c r="BO24" s="446"/>
      <c r="BP24" s="446"/>
      <c r="BQ24" s="446"/>
      <c r="BR24" s="446"/>
      <c r="BS24" s="446"/>
      <c r="BT24" s="446"/>
      <c r="BU24" s="446"/>
      <c r="BV24" s="446"/>
      <c r="BW24" s="446"/>
      <c r="BX24" s="446"/>
      <c r="BY24" s="446"/>
      <c r="BZ24" s="446"/>
      <c r="CA24" s="446"/>
      <c r="CB24" s="446"/>
      <c r="CC24" s="446"/>
      <c r="CD24" s="446"/>
      <c r="CE24" s="446"/>
      <c r="CF24" s="446"/>
      <c r="CG24" s="446"/>
      <c r="CH24" s="446"/>
      <c r="CI24" s="446"/>
      <c r="CJ24" s="446"/>
      <c r="CK24" s="446"/>
      <c r="CL24" s="446"/>
      <c r="CM24" s="446"/>
      <c r="CN24" s="446"/>
      <c r="CO24" s="446"/>
      <c r="CP24" s="446"/>
      <c r="CQ24" s="446"/>
      <c r="CR24" s="446"/>
      <c r="CS24" s="446"/>
      <c r="CT24" s="446"/>
      <c r="CU24" s="446"/>
      <c r="CV24" s="446"/>
      <c r="CW24" s="446"/>
    </row>
    <row r="25" spans="1:101" ht="15" thickBot="1">
      <c r="B25" s="38" t="s">
        <v>68</v>
      </c>
      <c r="C25" s="39">
        <f t="shared" ref="C25:N25" si="5">C18-C24</f>
        <v>-1370</v>
      </c>
      <c r="D25" s="39">
        <f t="shared" si="5"/>
        <v>3015</v>
      </c>
      <c r="E25" s="39">
        <f t="shared" si="5"/>
        <v>5679</v>
      </c>
      <c r="F25" s="39">
        <f t="shared" si="5"/>
        <v>4389</v>
      </c>
      <c r="G25" s="39">
        <f t="shared" si="5"/>
        <v>3879</v>
      </c>
      <c r="H25" s="39">
        <f t="shared" si="5"/>
        <v>8328</v>
      </c>
      <c r="I25" s="40">
        <f t="shared" si="5"/>
        <v>14034</v>
      </c>
      <c r="J25" s="39">
        <f>J18-J24</f>
        <v>19619.361819864978</v>
      </c>
      <c r="K25" s="39">
        <f t="shared" si="5"/>
        <v>28320.909204618896</v>
      </c>
      <c r="L25" s="39">
        <f t="shared" si="5"/>
        <v>38554.370595112996</v>
      </c>
      <c r="M25" s="39">
        <f t="shared" si="5"/>
        <v>50164.654465990483</v>
      </c>
      <c r="N25" s="40">
        <f t="shared" si="5"/>
        <v>63256.734817888042</v>
      </c>
    </row>
    <row r="26" spans="1:101">
      <c r="J26" s="197"/>
      <c r="K26" s="197"/>
    </row>
    <row r="27" spans="1:101">
      <c r="J27" t="s">
        <v>342</v>
      </c>
      <c r="K27" t="s">
        <v>343</v>
      </c>
    </row>
    <row r="28" spans="1:101">
      <c r="J28" s="197">
        <f>J25*3/12</f>
        <v>4904.8404549662446</v>
      </c>
      <c r="K28" s="197">
        <f>K25*9/12</f>
        <v>21240.68190346417</v>
      </c>
    </row>
    <row r="29" spans="1:101">
      <c r="J29" s="25" t="s">
        <v>265</v>
      </c>
      <c r="K29" s="169">
        <f>K28+J28</f>
        <v>26145.522358430415</v>
      </c>
    </row>
    <row r="32" spans="1:101">
      <c r="J32" s="1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C0B-C81A-4C33-949E-B4D3B3976F33}">
  <dimension ref="A1:R73"/>
  <sheetViews>
    <sheetView showGridLines="0" zoomScale="90" zoomScaleNormal="90" workbookViewId="0">
      <selection activeCell="B4" sqref="B4"/>
    </sheetView>
  </sheetViews>
  <sheetFormatPr defaultRowHeight="14.5" outlineLevelCol="1"/>
  <cols>
    <col min="1" max="1" width="16.453125" bestFit="1" customWidth="1"/>
    <col min="2" max="2" width="54.1796875" bestFit="1" customWidth="1"/>
    <col min="3" max="3" width="11.6328125" hidden="1" customWidth="1" outlineLevel="1"/>
    <col min="4" max="4" width="11.90625" hidden="1" customWidth="1" outlineLevel="1"/>
    <col min="5" max="5" width="11.90625" bestFit="1" customWidth="1" collapsed="1"/>
    <col min="6" max="6" width="11.90625" bestFit="1" customWidth="1"/>
    <col min="7" max="9" width="16.81640625" bestFit="1" customWidth="1"/>
    <col min="10" max="10" width="18" bestFit="1" customWidth="1"/>
    <col min="11" max="13" width="16.6328125" bestFit="1" customWidth="1"/>
    <col min="14" max="14" width="11.36328125" bestFit="1" customWidth="1"/>
    <col min="15" max="15" width="9.1796875" bestFit="1" customWidth="1"/>
  </cols>
  <sheetData>
    <row r="1" spans="1:18" ht="15" thickBot="1">
      <c r="B1" t="s">
        <v>272</v>
      </c>
    </row>
    <row r="2" spans="1:18" ht="15" thickBot="1">
      <c r="B2" s="26" t="s">
        <v>78</v>
      </c>
      <c r="C2" s="3" t="str">
        <f>Assumptions!C2</f>
        <v>FY18</v>
      </c>
      <c r="D2" s="3" t="str">
        <f>Assumptions!D2</f>
        <v>FY19</v>
      </c>
      <c r="E2" s="3" t="str">
        <f>Assumptions!E2</f>
        <v>FY20</v>
      </c>
      <c r="F2" s="3" t="str">
        <f>Assumptions!F2</f>
        <v>FY21</v>
      </c>
      <c r="G2" s="3" t="str">
        <f>Assumptions!G2</f>
        <v>FY22</v>
      </c>
      <c r="H2" s="3" t="str">
        <f>Assumptions!H2</f>
        <v>FY23</v>
      </c>
      <c r="I2" s="5" t="str">
        <f>Assumptions!I2</f>
        <v>FY24</v>
      </c>
      <c r="J2" s="3" t="str">
        <f>Assumptions!J2</f>
        <v>FY25E</v>
      </c>
      <c r="K2" s="3" t="str">
        <f>Assumptions!K2</f>
        <v>FY26E</v>
      </c>
      <c r="L2" s="3" t="str">
        <f>Assumptions!L2</f>
        <v>FY27E</v>
      </c>
      <c r="M2" s="3" t="str">
        <f>Assumptions!M2</f>
        <v>FY28E</v>
      </c>
      <c r="N2" s="3" t="str">
        <f>Assumptions!N2</f>
        <v>FY29E</v>
      </c>
      <c r="R2" s="25"/>
    </row>
    <row r="3" spans="1:18">
      <c r="B3" s="49" t="s">
        <v>79</v>
      </c>
      <c r="C3" s="304">
        <f>'Profit &amp; Loss Statement'!C5</f>
        <v>46761</v>
      </c>
      <c r="D3" s="304">
        <f>'Profit &amp; Loss Statement'!D5</f>
        <v>59036</v>
      </c>
      <c r="E3" s="304">
        <f>'Profit &amp; Loss Statement'!E5</f>
        <v>75660</v>
      </c>
      <c r="F3" s="304">
        <f>'Profit &amp; Loss Statement'!F5</f>
        <v>70372</v>
      </c>
      <c r="G3" s="304">
        <f>'Profit &amp; Loss Statement'!G5</f>
        <v>88330</v>
      </c>
      <c r="H3" s="304">
        <f>'Profit &amp; Loss Statement'!H5</f>
        <v>118410</v>
      </c>
      <c r="I3" s="305">
        <f>'Profit &amp; Loss Statement'!I5</f>
        <v>141858</v>
      </c>
      <c r="J3" s="304">
        <f>J4+J6</f>
        <v>145471.70000000001</v>
      </c>
      <c r="K3" s="304">
        <f t="shared" ref="K3:N3" si="0">K4+K6</f>
        <v>145107.70000000001</v>
      </c>
      <c r="L3" s="304">
        <f t="shared" si="0"/>
        <v>144984.70000000001</v>
      </c>
      <c r="M3" s="304">
        <f t="shared" si="0"/>
        <v>146605.35</v>
      </c>
      <c r="N3" s="305">
        <f t="shared" si="0"/>
        <v>149869.70000000001</v>
      </c>
    </row>
    <row r="4" spans="1:18">
      <c r="B4" s="49" t="s">
        <v>273</v>
      </c>
      <c r="C4" s="306">
        <f t="shared" ref="C4:H4" si="1">C3*C5</f>
        <v>10006.853999999999</v>
      </c>
      <c r="D4" s="306">
        <f t="shared" si="1"/>
        <v>12987.92</v>
      </c>
      <c r="E4" s="306">
        <f t="shared" si="1"/>
        <v>70742.100000000006</v>
      </c>
      <c r="F4" s="306">
        <f t="shared" si="1"/>
        <v>65727.448000000004</v>
      </c>
      <c r="G4" s="306">
        <f t="shared" si="1"/>
        <v>75963.8</v>
      </c>
      <c r="H4" s="306">
        <f t="shared" si="1"/>
        <v>94609.590000000011</v>
      </c>
      <c r="I4" s="307">
        <f>I3*I5</f>
        <v>122990.886</v>
      </c>
      <c r="J4" s="306">
        <v>126617</v>
      </c>
      <c r="K4" s="306">
        <v>126253</v>
      </c>
      <c r="L4" s="306">
        <v>126130</v>
      </c>
      <c r="M4" s="306">
        <v>127750.65</v>
      </c>
      <c r="N4" s="307">
        <v>131015</v>
      </c>
    </row>
    <row r="5" spans="1:18">
      <c r="B5" s="49" t="s">
        <v>80</v>
      </c>
      <c r="C5" s="308">
        <v>0.214</v>
      </c>
      <c r="D5" s="308">
        <v>0.22</v>
      </c>
      <c r="E5" s="316">
        <v>0.93500000000000005</v>
      </c>
      <c r="F5" s="316">
        <v>0.93400000000000005</v>
      </c>
      <c r="G5" s="154">
        <v>0.86</v>
      </c>
      <c r="H5" s="154">
        <v>0.79900000000000004</v>
      </c>
      <c r="I5" s="309">
        <v>0.86699999999999999</v>
      </c>
      <c r="J5" s="309">
        <f>J4/J3</f>
        <v>0.87038922347095682</v>
      </c>
      <c r="K5" s="309">
        <f t="shared" ref="K5:N5" si="2">K4/K3</f>
        <v>0.87006409721882427</v>
      </c>
      <c r="L5" s="309">
        <f t="shared" si="2"/>
        <v>0.86995386409738396</v>
      </c>
      <c r="M5" s="309">
        <f t="shared" si="2"/>
        <v>0.87139146013429924</v>
      </c>
      <c r="N5" s="309">
        <f t="shared" si="2"/>
        <v>0.87419271540544885</v>
      </c>
    </row>
    <row r="6" spans="1:18">
      <c r="B6" s="49" t="s">
        <v>274</v>
      </c>
      <c r="C6" s="23">
        <f t="shared" ref="C6:H6" si="3">C3*C7</f>
        <v>36754.146000000001</v>
      </c>
      <c r="D6" s="23">
        <f t="shared" si="3"/>
        <v>46048.08</v>
      </c>
      <c r="E6" s="23">
        <f t="shared" si="3"/>
        <v>4917.899999999996</v>
      </c>
      <c r="F6" s="23">
        <f t="shared" si="3"/>
        <v>4644.551999999996</v>
      </c>
      <c r="G6" s="23">
        <f t="shared" si="3"/>
        <v>12366.2</v>
      </c>
      <c r="H6" s="23">
        <f t="shared" si="3"/>
        <v>23800.409999999996</v>
      </c>
      <c r="I6" s="165">
        <f>I3*I7</f>
        <v>18867.114000000001</v>
      </c>
      <c r="J6" s="23">
        <v>18854.7</v>
      </c>
      <c r="K6" s="23">
        <v>18854.7</v>
      </c>
      <c r="L6" s="23">
        <v>18854.7</v>
      </c>
      <c r="M6" s="23">
        <v>18854.7</v>
      </c>
      <c r="N6" s="23">
        <v>18854.7</v>
      </c>
    </row>
    <row r="7" spans="1:18" ht="15" thickBot="1">
      <c r="B7" s="56" t="s">
        <v>80</v>
      </c>
      <c r="C7" s="310">
        <f t="shared" ref="C7:J7" si="4">1-C5</f>
        <v>0.78600000000000003</v>
      </c>
      <c r="D7" s="310">
        <f t="shared" si="4"/>
        <v>0.78</v>
      </c>
      <c r="E7" s="310">
        <f t="shared" si="4"/>
        <v>6.4999999999999947E-2</v>
      </c>
      <c r="F7" s="310">
        <f t="shared" si="4"/>
        <v>6.5999999999999948E-2</v>
      </c>
      <c r="G7" s="310">
        <f t="shared" si="4"/>
        <v>0.14000000000000001</v>
      </c>
      <c r="H7" s="310">
        <f t="shared" si="4"/>
        <v>0.20099999999999996</v>
      </c>
      <c r="I7" s="311">
        <f t="shared" si="4"/>
        <v>0.13300000000000001</v>
      </c>
      <c r="J7" s="312">
        <f t="shared" si="4"/>
        <v>0.12961077652904318</v>
      </c>
      <c r="K7" s="312">
        <f t="shared" ref="K7:M7" si="5">1-K5</f>
        <v>0.12993590278117573</v>
      </c>
      <c r="L7" s="312">
        <f t="shared" si="5"/>
        <v>0.13004613590261604</v>
      </c>
      <c r="M7" s="312">
        <f t="shared" si="5"/>
        <v>0.12860853986570076</v>
      </c>
      <c r="N7" s="312">
        <f>1-N5</f>
        <v>0.12580728459455115</v>
      </c>
    </row>
    <row r="8" spans="1:18" ht="15" thickBot="1">
      <c r="B8" s="33"/>
      <c r="I8" s="37"/>
      <c r="N8" s="37"/>
    </row>
    <row r="9" spans="1:18" ht="15" thickBot="1">
      <c r="B9" s="26" t="s">
        <v>277</v>
      </c>
      <c r="C9" s="3" t="str">
        <f t="shared" ref="C9:H9" si="6">C2</f>
        <v>FY18</v>
      </c>
      <c r="D9" s="3" t="str">
        <f t="shared" si="6"/>
        <v>FY19</v>
      </c>
      <c r="E9" s="3" t="str">
        <f t="shared" si="6"/>
        <v>FY20</v>
      </c>
      <c r="F9" s="3" t="str">
        <f t="shared" si="6"/>
        <v>FY21</v>
      </c>
      <c r="G9" s="3" t="str">
        <f t="shared" si="6"/>
        <v>FY22</v>
      </c>
      <c r="H9" s="3" t="str">
        <f t="shared" si="6"/>
        <v>FY23</v>
      </c>
      <c r="I9" s="5" t="s">
        <v>206</v>
      </c>
      <c r="J9" s="3" t="s">
        <v>50</v>
      </c>
      <c r="K9" s="3"/>
      <c r="L9" s="3"/>
      <c r="M9" s="3"/>
      <c r="N9" s="5"/>
    </row>
    <row r="10" spans="1:18">
      <c r="A10" s="76"/>
      <c r="B10" s="33" t="s">
        <v>275</v>
      </c>
      <c r="C10" s="2">
        <v>105</v>
      </c>
      <c r="D10" s="2">
        <v>132</v>
      </c>
      <c r="E10" s="2">
        <v>1461126</v>
      </c>
      <c r="F10" s="2">
        <v>1361722</v>
      </c>
      <c r="G10">
        <v>1414277</v>
      </c>
      <c r="H10">
        <v>1571015</v>
      </c>
      <c r="I10" s="37">
        <v>1852256</v>
      </c>
      <c r="J10" s="253">
        <f>AVERAGE(E10:I10)/AVERAGE(E$12:I$12)*J$12</f>
        <v>2044575.6813080416</v>
      </c>
      <c r="K10" s="76">
        <f t="shared" ref="K10:L10" si="7">AVERAGE(F10:J10)/AVERAGE(F$12:J$12)*K$12</f>
        <v>2216688.353779023</v>
      </c>
      <c r="L10" s="76">
        <f t="shared" si="7"/>
        <v>2403981.4716618289</v>
      </c>
      <c r="M10" s="76">
        <f>AVERAGE(H10:L10)/AVERAGE(H$12:L$12)*M$12</f>
        <v>2635701.3203610713</v>
      </c>
      <c r="N10" s="77">
        <f>AVERAGE(I10:M10)/AVERAGE(I$12:M$12)*N$12</f>
        <v>2918663.4205062753</v>
      </c>
    </row>
    <row r="11" spans="1:18" ht="15" thickBot="1">
      <c r="A11" s="76"/>
      <c r="B11" s="33" t="s">
        <v>276</v>
      </c>
      <c r="C11" s="2">
        <v>2148</v>
      </c>
      <c r="D11" s="2">
        <v>2330</v>
      </c>
      <c r="E11" s="2">
        <v>102171</v>
      </c>
      <c r="F11" s="2">
        <v>96139</v>
      </c>
      <c r="G11">
        <v>238376</v>
      </c>
      <c r="H11">
        <v>395211</v>
      </c>
      <c r="I11" s="37">
        <v>283067</v>
      </c>
      <c r="J11" s="76">
        <f>AVERAGE(E11:I11)/AVERAGE(E$12:I$12)*J$12</f>
        <v>297586.21877171093</v>
      </c>
      <c r="K11" s="76">
        <f t="shared" ref="K11:N11" si="8">AVERAGE(F11:J11)/AVERAGE(F$12:J$12)*K$12</f>
        <v>352347.97757936933</v>
      </c>
      <c r="L11" s="76">
        <f t="shared" si="8"/>
        <v>413905.57176358724</v>
      </c>
      <c r="M11" s="76">
        <f t="shared" si="8"/>
        <v>455141.45697958767</v>
      </c>
      <c r="N11" s="77">
        <f t="shared" si="8"/>
        <v>471575.05499554618</v>
      </c>
      <c r="O11" s="151"/>
    </row>
    <row r="12" spans="1:18" ht="15" thickBot="1">
      <c r="A12" s="76"/>
      <c r="B12" s="313" t="s">
        <v>70</v>
      </c>
      <c r="C12" s="63">
        <f t="shared" ref="C12:H12" si="9">SUM(C10:C11)</f>
        <v>2253</v>
      </c>
      <c r="D12" s="63">
        <f t="shared" si="9"/>
        <v>2462</v>
      </c>
      <c r="E12" s="63">
        <f t="shared" si="9"/>
        <v>1563297</v>
      </c>
      <c r="F12" s="63">
        <f t="shared" si="9"/>
        <v>1457861</v>
      </c>
      <c r="G12" s="63">
        <f t="shared" si="9"/>
        <v>1652653</v>
      </c>
      <c r="H12" s="63">
        <f t="shared" si="9"/>
        <v>1966226</v>
      </c>
      <c r="I12" s="148">
        <f>SUM(I10:I11)</f>
        <v>2135323</v>
      </c>
      <c r="J12" s="314">
        <f>I12*(1+J13)</f>
        <v>2342161.9000797528</v>
      </c>
      <c r="K12" s="314">
        <f t="shared" ref="K12:N12" si="10">J12*(1+K13)</f>
        <v>2569036.3313583927</v>
      </c>
      <c r="L12" s="314">
        <f t="shared" si="10"/>
        <v>2817887.0434254161</v>
      </c>
      <c r="M12" s="314">
        <f t="shared" si="10"/>
        <v>3090842.7773406594</v>
      </c>
      <c r="N12" s="315">
        <f t="shared" si="10"/>
        <v>3390238.4755018228</v>
      </c>
      <c r="O12" s="76"/>
    </row>
    <row r="13" spans="1:18" ht="15" thickBot="1">
      <c r="B13" s="58" t="s">
        <v>81</v>
      </c>
      <c r="C13" s="62"/>
      <c r="D13" s="74">
        <f t="shared" ref="D13:H13" si="11">D12/C12-1</f>
        <v>9.2765201952951681E-2</v>
      </c>
      <c r="E13" s="74">
        <f>-16.1%</f>
        <v>-0.161</v>
      </c>
      <c r="F13" s="74">
        <f t="shared" si="11"/>
        <v>-6.7444637839131016E-2</v>
      </c>
      <c r="G13" s="74">
        <f t="shared" si="11"/>
        <v>0.13361493311090711</v>
      </c>
      <c r="H13" s="74">
        <f t="shared" si="11"/>
        <v>0.18973916484585684</v>
      </c>
      <c r="I13" s="75"/>
      <c r="J13" s="380">
        <v>9.686539229884783E-2</v>
      </c>
      <c r="K13" s="380">
        <v>9.686539229884783E-2</v>
      </c>
      <c r="L13" s="380">
        <v>9.686539229884783E-2</v>
      </c>
      <c r="M13" s="380">
        <v>9.686539229884783E-2</v>
      </c>
      <c r="N13" s="381">
        <v>9.686539229884783E-2</v>
      </c>
    </row>
    <row r="14" spans="1:18" ht="15" thickBot="1">
      <c r="A14" s="297"/>
      <c r="B14" s="33"/>
      <c r="I14" s="37"/>
      <c r="J14" s="254"/>
      <c r="K14" s="76"/>
      <c r="L14" s="76"/>
      <c r="M14" s="76"/>
      <c r="N14" s="77"/>
    </row>
    <row r="15" spans="1:18" ht="15" thickBot="1">
      <c r="A15" s="151"/>
      <c r="B15" s="26" t="s">
        <v>278</v>
      </c>
      <c r="C15" s="3" t="str">
        <f t="shared" ref="C15:I15" si="12">C2</f>
        <v>FY18</v>
      </c>
      <c r="D15" s="3" t="str">
        <f t="shared" si="12"/>
        <v>FY19</v>
      </c>
      <c r="E15" s="3" t="str">
        <f t="shared" si="12"/>
        <v>FY20</v>
      </c>
      <c r="F15" s="3" t="str">
        <f t="shared" si="12"/>
        <v>FY21</v>
      </c>
      <c r="G15" s="3" t="str">
        <f t="shared" si="12"/>
        <v>FY22</v>
      </c>
      <c r="H15" s="3" t="str">
        <f t="shared" si="12"/>
        <v>FY23</v>
      </c>
      <c r="I15" s="5" t="str">
        <f t="shared" si="12"/>
        <v>FY24</v>
      </c>
      <c r="J15" s="3"/>
      <c r="K15" s="3"/>
      <c r="L15" s="3"/>
      <c r="M15" s="3"/>
      <c r="N15" s="5"/>
    </row>
    <row r="16" spans="1:18">
      <c r="B16" s="31" t="s">
        <v>281</v>
      </c>
      <c r="C16" s="64">
        <v>0.68400000000000005</v>
      </c>
      <c r="D16" s="64">
        <v>0.77300000000000002</v>
      </c>
      <c r="E16" s="386">
        <f>E17*E4</f>
        <v>12026.157000000001</v>
      </c>
      <c r="F16" s="386">
        <f>F17*F4</f>
        <v>10910.756368000002</v>
      </c>
      <c r="G16" s="384">
        <f>G17*G4</f>
        <v>11394.57</v>
      </c>
      <c r="H16" s="384">
        <f>H17*H4</f>
        <v>11920.808340000001</v>
      </c>
      <c r="I16" s="382">
        <f>I17*I4</f>
        <v>9470.2982219999994</v>
      </c>
      <c r="J16" s="387">
        <f>I16+0.5%</f>
        <v>9470.3032219999986</v>
      </c>
      <c r="K16" s="387">
        <f t="shared" ref="K16:N16" si="13">J16+0.5%</f>
        <v>9470.3082219999978</v>
      </c>
      <c r="L16" s="387">
        <f t="shared" si="13"/>
        <v>9470.313221999997</v>
      </c>
      <c r="M16" s="387">
        <f t="shared" si="13"/>
        <v>9470.3182219999962</v>
      </c>
      <c r="N16" s="388">
        <f t="shared" si="13"/>
        <v>9470.3232219999954</v>
      </c>
    </row>
    <row r="17" spans="1:14">
      <c r="A17" s="317">
        <f>A14*J12</f>
        <v>0</v>
      </c>
      <c r="B17" s="33" t="s">
        <v>279</v>
      </c>
      <c r="E17" s="149">
        <v>0.17</v>
      </c>
      <c r="F17" s="154">
        <v>0.16600000000000001</v>
      </c>
      <c r="G17" s="149">
        <v>0.15</v>
      </c>
      <c r="H17" s="154">
        <v>0.126</v>
      </c>
      <c r="I17" s="309">
        <v>7.6999999999999999E-2</v>
      </c>
      <c r="J17" s="149">
        <v>7.0000000000000007E-2</v>
      </c>
      <c r="K17" s="149">
        <v>7.0000000000000007E-2</v>
      </c>
      <c r="L17" s="149">
        <v>7.0000000000000007E-2</v>
      </c>
      <c r="M17" s="149">
        <v>7.0000000000000007E-2</v>
      </c>
      <c r="N17" s="149">
        <v>7.0000000000000007E-2</v>
      </c>
    </row>
    <row r="18" spans="1:14">
      <c r="A18" s="317"/>
      <c r="B18" s="33" t="s">
        <v>282</v>
      </c>
      <c r="E18" s="197">
        <f>E19*E4</f>
        <v>38129.991900000008</v>
      </c>
      <c r="F18" s="197">
        <f>F19*F4</f>
        <v>34704.092544000006</v>
      </c>
      <c r="G18" s="197">
        <f>G19*G4</f>
        <v>37981.9</v>
      </c>
      <c r="H18" s="197">
        <f>H19*H4</f>
        <v>44088.068940000005</v>
      </c>
      <c r="I18" s="383">
        <f>I19*I4</f>
        <v>54976.926041999999</v>
      </c>
      <c r="J18" s="383">
        <f t="shared" ref="J18:L18" si="14">J19*J4</f>
        <v>57800.660500000005</v>
      </c>
      <c r="K18" s="383">
        <f t="shared" si="14"/>
        <v>57034.792750000001</v>
      </c>
      <c r="L18" s="383">
        <f t="shared" si="14"/>
        <v>56979.227499999994</v>
      </c>
      <c r="M18" s="383">
        <f>M19*M4</f>
        <v>57711.356137499992</v>
      </c>
      <c r="N18" s="383">
        <f t="shared" ref="N18" si="15">N19*N4</f>
        <v>59186.026249999988</v>
      </c>
    </row>
    <row r="19" spans="1:14">
      <c r="A19" s="317"/>
      <c r="B19" s="33" t="s">
        <v>280</v>
      </c>
      <c r="E19" s="154">
        <v>0.53900000000000003</v>
      </c>
      <c r="F19" s="154">
        <v>0.52800000000000002</v>
      </c>
      <c r="G19" s="149">
        <v>0.5</v>
      </c>
      <c r="H19" s="154">
        <v>0.46600000000000003</v>
      </c>
      <c r="I19" s="309">
        <v>0.44700000000000001</v>
      </c>
      <c r="J19" s="154">
        <f>AVERAGE(H19:I19)</f>
        <v>0.45650000000000002</v>
      </c>
      <c r="K19" s="154">
        <f t="shared" ref="K19" si="16">AVERAGE(I19:J19)</f>
        <v>0.45174999999999998</v>
      </c>
      <c r="L19" s="154">
        <f>AVERAGE($I$19:K19)</f>
        <v>0.45174999999999993</v>
      </c>
      <c r="M19" s="154">
        <f>AVERAGE($I$19:L19)</f>
        <v>0.45174999999999993</v>
      </c>
      <c r="N19" s="154">
        <f>AVERAGE($I$19:M19)</f>
        <v>0.45174999999999993</v>
      </c>
    </row>
    <row r="20" spans="1:14">
      <c r="A20" s="317"/>
      <c r="B20" s="33" t="s">
        <v>283</v>
      </c>
      <c r="E20" s="385">
        <f t="shared" ref="E20:N20" si="17">E16+E18</f>
        <v>50156.148900000007</v>
      </c>
      <c r="F20" s="385">
        <f t="shared" si="17"/>
        <v>45614.848912000009</v>
      </c>
      <c r="G20" s="385">
        <f t="shared" si="17"/>
        <v>49376.47</v>
      </c>
      <c r="H20" s="385">
        <f t="shared" si="17"/>
        <v>56008.877280000008</v>
      </c>
      <c r="I20" s="383">
        <f t="shared" si="17"/>
        <v>64447.224263999997</v>
      </c>
      <c r="J20" s="383">
        <f t="shared" si="17"/>
        <v>67270.963722</v>
      </c>
      <c r="K20" s="383">
        <f t="shared" si="17"/>
        <v>66505.100972</v>
      </c>
      <c r="L20" s="383">
        <f t="shared" si="17"/>
        <v>66449.540721999991</v>
      </c>
      <c r="M20" s="383">
        <f t="shared" si="17"/>
        <v>67181.674359499986</v>
      </c>
      <c r="N20" s="383">
        <f t="shared" si="17"/>
        <v>68656.349471999987</v>
      </c>
    </row>
    <row r="21" spans="1:14">
      <c r="A21" s="317"/>
      <c r="B21" s="33" t="s">
        <v>286</v>
      </c>
      <c r="E21" s="197">
        <f>E22*E4</f>
        <v>1202.6157000000003</v>
      </c>
      <c r="F21" s="197">
        <f>F22*F4</f>
        <v>657.27448000000004</v>
      </c>
      <c r="G21" s="197">
        <f>G22*G4</f>
        <v>759.63800000000003</v>
      </c>
      <c r="H21" s="197">
        <f>H22*H4</f>
        <v>747.4157610000002</v>
      </c>
      <c r="I21" s="383">
        <f>I22*I4</f>
        <v>737.94531600000005</v>
      </c>
      <c r="J21" s="383">
        <f t="shared" ref="J21:N21" si="18">J22*J4</f>
        <v>879.98815000000002</v>
      </c>
      <c r="K21" s="383">
        <f t="shared" si="18"/>
        <v>817.48817499999996</v>
      </c>
      <c r="L21" s="383">
        <f t="shared" si="18"/>
        <v>846.64762499999995</v>
      </c>
      <c r="M21" s="383">
        <f t="shared" si="18"/>
        <v>842.35584843749996</v>
      </c>
      <c r="N21" s="383">
        <f t="shared" si="18"/>
        <v>871.65917187499986</v>
      </c>
    </row>
    <row r="22" spans="1:14">
      <c r="A22" s="317"/>
      <c r="B22" s="33" t="s">
        <v>284</v>
      </c>
      <c r="E22" s="154">
        <v>1.7000000000000001E-2</v>
      </c>
      <c r="F22" s="149">
        <v>0.01</v>
      </c>
      <c r="G22" s="149">
        <v>0.01</v>
      </c>
      <c r="H22" s="154">
        <v>7.9000000000000008E-3</v>
      </c>
      <c r="I22" s="309">
        <v>6.0000000000000001E-3</v>
      </c>
      <c r="J22" s="154">
        <f>AVERAGE(H22:I22)</f>
        <v>6.9500000000000004E-3</v>
      </c>
      <c r="K22" s="154">
        <f t="shared" ref="K22:M22" si="19">AVERAGE(I22:J22)</f>
        <v>6.4749999999999999E-3</v>
      </c>
      <c r="L22" s="154">
        <f t="shared" si="19"/>
        <v>6.7124999999999997E-3</v>
      </c>
      <c r="M22" s="154">
        <f t="shared" si="19"/>
        <v>6.5937499999999998E-3</v>
      </c>
      <c r="N22" s="154">
        <f>AVERAGE(L22:M22)</f>
        <v>6.6531249999999993E-3</v>
      </c>
    </row>
    <row r="23" spans="1:14">
      <c r="A23" s="317"/>
      <c r="B23" s="33" t="s">
        <v>285</v>
      </c>
      <c r="E23" s="197">
        <f>E24*E4</f>
        <v>11389.478100000002</v>
      </c>
      <c r="F23" s="197">
        <f>F24*F4</f>
        <v>11042.211264000001</v>
      </c>
      <c r="G23" s="197">
        <f>G24*G4</f>
        <v>15952.397999999999</v>
      </c>
      <c r="H23" s="197">
        <f>H24*H4</f>
        <v>18732.698820000001</v>
      </c>
      <c r="I23" s="383">
        <f>I24*I4</f>
        <v>42677.837441999996</v>
      </c>
      <c r="J23" s="383">
        <f t="shared" ref="J23:N23" si="20">J24*J4</f>
        <v>43936.098999999995</v>
      </c>
      <c r="K23" s="383">
        <f t="shared" si="20"/>
        <v>43809.790999999997</v>
      </c>
      <c r="L23" s="383">
        <f t="shared" si="20"/>
        <v>43767.109999999993</v>
      </c>
      <c r="M23" s="383">
        <f t="shared" si="20"/>
        <v>44329.475549999996</v>
      </c>
      <c r="N23" s="383">
        <f t="shared" si="20"/>
        <v>45462.204999999994</v>
      </c>
    </row>
    <row r="24" spans="1:14">
      <c r="A24" s="317"/>
      <c r="B24" s="33" t="s">
        <v>287</v>
      </c>
      <c r="E24" s="154">
        <v>0.161</v>
      </c>
      <c r="F24" s="154">
        <v>0.16800000000000001</v>
      </c>
      <c r="G24" s="149">
        <v>0.21</v>
      </c>
      <c r="H24" s="154">
        <v>0.19800000000000001</v>
      </c>
      <c r="I24" s="309">
        <v>0.34699999999999998</v>
      </c>
      <c r="J24" s="309">
        <v>0.34699999999999998</v>
      </c>
      <c r="K24" s="309">
        <v>0.34699999999999998</v>
      </c>
      <c r="L24" s="309">
        <v>0.34699999999999998</v>
      </c>
      <c r="M24" s="309">
        <v>0.34699999999999998</v>
      </c>
      <c r="N24" s="309">
        <v>0.34699999999999998</v>
      </c>
    </row>
    <row r="25" spans="1:14">
      <c r="A25" s="317"/>
      <c r="B25" s="33" t="s">
        <v>288</v>
      </c>
      <c r="E25" s="197">
        <f>E26*E4</f>
        <v>5730.1101000000008</v>
      </c>
      <c r="F25" s="197">
        <f>F26*F4</f>
        <v>5061.0134960000005</v>
      </c>
      <c r="G25" s="197">
        <f>G26*G4</f>
        <v>6077.1040000000003</v>
      </c>
      <c r="H25" s="197">
        <f>H26*H4</f>
        <v>4825.0890900000004</v>
      </c>
      <c r="I25" s="383">
        <f>I26*I4</f>
        <v>9101.3255639999988</v>
      </c>
      <c r="J25" s="383">
        <f t="shared" ref="J25:N25" si="21">J26*J4</f>
        <v>9192.3942000000006</v>
      </c>
      <c r="K25" s="383">
        <f t="shared" si="21"/>
        <v>8953.86276</v>
      </c>
      <c r="L25" s="383">
        <f t="shared" si="21"/>
        <v>8791.7655200000008</v>
      </c>
      <c r="M25" s="383">
        <f t="shared" si="21"/>
        <v>8641.667169119999</v>
      </c>
      <c r="N25" s="383">
        <f t="shared" si="21"/>
        <v>9298.6271663999996</v>
      </c>
    </row>
    <row r="26" spans="1:14">
      <c r="A26" s="317"/>
      <c r="B26" s="33" t="s">
        <v>289</v>
      </c>
      <c r="E26" s="154">
        <v>8.1000000000000003E-2</v>
      </c>
      <c r="F26" s="154">
        <v>7.6999999999999999E-2</v>
      </c>
      <c r="G26" s="149">
        <v>0.08</v>
      </c>
      <c r="H26" s="154">
        <v>5.0999999999999997E-2</v>
      </c>
      <c r="I26" s="309">
        <v>7.3999999999999996E-2</v>
      </c>
      <c r="J26" s="154">
        <f>AVERAGE(E26:I26)</f>
        <v>7.2599999999999998E-2</v>
      </c>
      <c r="K26" s="154">
        <f t="shared" ref="K26:M26" si="22">AVERAGE(F26:J26)</f>
        <v>7.0919999999999997E-2</v>
      </c>
      <c r="L26" s="154">
        <f t="shared" si="22"/>
        <v>6.9704000000000002E-2</v>
      </c>
      <c r="M26" s="154">
        <f t="shared" si="22"/>
        <v>6.7644799999999991E-2</v>
      </c>
      <c r="N26" s="154">
        <f>AVERAGE(I26:M26)</f>
        <v>7.0973759999999997E-2</v>
      </c>
    </row>
    <row r="27" spans="1:14">
      <c r="A27" s="317"/>
      <c r="B27" s="33" t="s">
        <v>290</v>
      </c>
      <c r="E27" s="197">
        <f>E28*E4</f>
        <v>1061.1315</v>
      </c>
      <c r="F27" s="197">
        <f>F28*F4</f>
        <v>1446.003856</v>
      </c>
      <c r="G27" s="197">
        <f>G28*G4</f>
        <v>1519.2760000000001</v>
      </c>
      <c r="H27" s="197">
        <f>H28*H4</f>
        <v>1892.1918000000003</v>
      </c>
      <c r="I27" s="383">
        <f>I28*I4</f>
        <v>2213.8359479999999</v>
      </c>
      <c r="J27" s="383">
        <f t="shared" ref="J27:M27" si="23">J28*J4</f>
        <v>2405.723</v>
      </c>
      <c r="K27" s="383">
        <f t="shared" si="23"/>
        <v>2499.8094000000001</v>
      </c>
      <c r="L27" s="383">
        <f t="shared" si="23"/>
        <v>2441.8768</v>
      </c>
      <c r="M27" s="383">
        <f t="shared" si="23"/>
        <v>2456.9005007999999</v>
      </c>
      <c r="N27" s="383">
        <f>N28*N4</f>
        <v>2499.5565760000004</v>
      </c>
    </row>
    <row r="28" spans="1:14">
      <c r="A28" s="317"/>
      <c r="B28" s="33" t="s">
        <v>293</v>
      </c>
      <c r="E28" s="154">
        <v>1.4999999999999999E-2</v>
      </c>
      <c r="F28" s="154">
        <v>2.1999999999999999E-2</v>
      </c>
      <c r="G28" s="149">
        <v>0.02</v>
      </c>
      <c r="H28" s="149">
        <v>0.02</v>
      </c>
      <c r="I28" s="309">
        <v>1.7999999999999999E-2</v>
      </c>
      <c r="J28" s="154">
        <f>AVERAGE(E28:I28)</f>
        <v>1.9E-2</v>
      </c>
      <c r="K28" s="154">
        <f t="shared" ref="K28:N28" si="24">AVERAGE(F28:J28)</f>
        <v>1.9800000000000002E-2</v>
      </c>
      <c r="L28" s="154">
        <f t="shared" si="24"/>
        <v>1.9359999999999999E-2</v>
      </c>
      <c r="M28" s="154">
        <f t="shared" si="24"/>
        <v>1.9231999999999999E-2</v>
      </c>
      <c r="N28" s="154">
        <f t="shared" si="24"/>
        <v>1.9078400000000002E-2</v>
      </c>
    </row>
    <row r="29" spans="1:14">
      <c r="A29" s="317"/>
      <c r="B29" s="33" t="s">
        <v>291</v>
      </c>
      <c r="E29" s="197">
        <f>E30*E4</f>
        <v>1202.6157000000003</v>
      </c>
      <c r="F29" s="197">
        <f>F30*F4</f>
        <v>1840.3685440000002</v>
      </c>
      <c r="G29" s="197">
        <f>G30*G4</f>
        <v>2278.9140000000002</v>
      </c>
      <c r="H29" s="197">
        <f>H30*H4</f>
        <v>3216.7260600000004</v>
      </c>
      <c r="I29" s="383">
        <f>I30*I4</f>
        <v>3935.7083520000001</v>
      </c>
      <c r="J29" s="383">
        <f t="shared" ref="J29:N29" si="25">J30*J4</f>
        <v>3925.127</v>
      </c>
      <c r="K29" s="383">
        <f t="shared" si="25"/>
        <v>4008.5327499999999</v>
      </c>
      <c r="L29" s="383">
        <f t="shared" si="25"/>
        <v>4059.8093750000003</v>
      </c>
      <c r="M29" s="383">
        <f t="shared" si="25"/>
        <v>4054.0870335937502</v>
      </c>
      <c r="N29" s="383">
        <f t="shared" si="25"/>
        <v>4148.9789257812508</v>
      </c>
    </row>
    <row r="30" spans="1:14">
      <c r="A30" s="317"/>
      <c r="B30" s="33" t="s">
        <v>292</v>
      </c>
      <c r="E30" s="154">
        <v>1.7000000000000001E-2</v>
      </c>
      <c r="F30" s="154">
        <v>2.8000000000000001E-2</v>
      </c>
      <c r="G30" s="149">
        <v>0.03</v>
      </c>
      <c r="H30" s="154">
        <v>3.4000000000000002E-2</v>
      </c>
      <c r="I30" s="309">
        <v>3.2000000000000001E-2</v>
      </c>
      <c r="J30" s="154">
        <f>AVERAGE(F30:I30)</f>
        <v>3.1E-2</v>
      </c>
      <c r="K30" s="154">
        <f t="shared" ref="K30:M30" si="26">AVERAGE(G30:J30)</f>
        <v>3.175E-2</v>
      </c>
      <c r="L30" s="154">
        <f t="shared" si="26"/>
        <v>3.2187500000000001E-2</v>
      </c>
      <c r="M30" s="154">
        <f t="shared" si="26"/>
        <v>3.1734375000000002E-2</v>
      </c>
      <c r="N30" s="154">
        <f>AVERAGE(J30:M30)</f>
        <v>3.1667968750000004E-2</v>
      </c>
    </row>
    <row r="31" spans="1:14">
      <c r="B31" s="33"/>
      <c r="I31" s="37"/>
      <c r="N31" s="37"/>
    </row>
    <row r="50" spans="7:10">
      <c r="G50" s="149"/>
      <c r="H50" s="149"/>
      <c r="I50" s="149"/>
      <c r="J50" s="147"/>
    </row>
    <row r="51" spans="7:10">
      <c r="G51" s="149"/>
      <c r="H51" s="149"/>
      <c r="I51" s="149"/>
      <c r="J51" s="147"/>
    </row>
    <row r="73" spans="10:13">
      <c r="J73" s="149"/>
      <c r="K73" s="149"/>
      <c r="L73" s="149"/>
      <c r="M73" s="1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43E9-9190-400F-935D-12BDE31AE916}">
  <dimension ref="A1:CG44"/>
  <sheetViews>
    <sheetView showGridLines="0" zoomScaleNormal="100" workbookViewId="0">
      <selection activeCell="T15" sqref="T15"/>
    </sheetView>
  </sheetViews>
  <sheetFormatPr defaultRowHeight="14.5" outlineLevelCol="1"/>
  <cols>
    <col min="2" max="2" width="36.36328125" bestFit="1" customWidth="1"/>
    <col min="3" max="3" width="12.08984375" hidden="1" customWidth="1" outlineLevel="1"/>
    <col min="4" max="4" width="11.6328125" hidden="1" customWidth="1" outlineLevel="1"/>
    <col min="5" max="5" width="11.6328125" bestFit="1" customWidth="1" collapsed="1"/>
    <col min="6" max="8" width="11.6328125" bestFit="1" customWidth="1"/>
    <col min="9" max="13" width="11.36328125" bestFit="1" customWidth="1"/>
    <col min="14" max="14" width="10.81640625" customWidth="1"/>
  </cols>
  <sheetData>
    <row r="1" spans="1:85" ht="15" thickBot="1"/>
    <row r="2" spans="1:85" ht="15" thickBot="1">
      <c r="B2" s="26" t="s">
        <v>69</v>
      </c>
      <c r="C2" s="3" t="str">
        <f>'Profit &amp; Loss Statement'!C3</f>
        <v>FY18</v>
      </c>
      <c r="D2" s="3" t="str">
        <f>'Profit &amp; Loss Statement'!D3</f>
        <v>FY19</v>
      </c>
      <c r="E2" s="3" t="str">
        <f>'Profit &amp; Loss Statement'!E3</f>
        <v>FY20</v>
      </c>
      <c r="F2" s="3" t="str">
        <f>'Profit &amp; Loss Statement'!F3</f>
        <v>FY21</v>
      </c>
      <c r="G2" s="3" t="str">
        <f>'Profit &amp; Loss Statement'!G3</f>
        <v>FY22</v>
      </c>
      <c r="H2" s="3" t="str">
        <f>'Profit &amp; Loss Statement'!H3</f>
        <v>FY23</v>
      </c>
      <c r="I2" s="5" t="str">
        <f>'Profit &amp; Loss Statement'!I3</f>
        <v>FY24</v>
      </c>
      <c r="J2" s="3" t="str">
        <f>'Profit &amp; Loss Statement'!J3</f>
        <v>FY25E</v>
      </c>
      <c r="K2" s="3" t="str">
        <f>'Profit &amp; Loss Statement'!K3</f>
        <v>FY26E</v>
      </c>
      <c r="L2" s="3" t="str">
        <f>'Profit &amp; Loss Statement'!L3</f>
        <v>FY27E</v>
      </c>
      <c r="M2" s="3" t="str">
        <f>'Profit &amp; Loss Statement'!M3</f>
        <v>FY28E</v>
      </c>
      <c r="N2" s="5" t="str">
        <f>'Profit &amp; Loss Statement'!N3</f>
        <v>FY29E</v>
      </c>
    </row>
    <row r="3" spans="1:85">
      <c r="B3" s="41" t="s">
        <v>55</v>
      </c>
      <c r="C3" s="42">
        <f>'Profit &amp; Loss Statement'!C5</f>
        <v>46761</v>
      </c>
      <c r="D3" s="42">
        <f>'Profit &amp; Loss Statement'!D5</f>
        <v>59036</v>
      </c>
      <c r="E3" s="42">
        <f>'Profit &amp; Loss Statement'!E5</f>
        <v>75660</v>
      </c>
      <c r="F3" s="42">
        <f>'Profit &amp; Loss Statement'!F5</f>
        <v>70372</v>
      </c>
      <c r="G3" s="42">
        <f>'Profit &amp; Loss Statement'!G5</f>
        <v>88330</v>
      </c>
      <c r="H3" s="42">
        <f>'Profit &amp; Loss Statement'!H5</f>
        <v>118410</v>
      </c>
      <c r="I3" s="43">
        <f>'Profit &amp; Loss Statement'!I5</f>
        <v>141858</v>
      </c>
      <c r="J3" s="42">
        <f>'Revenue Model'!J3</f>
        <v>145471.70000000001</v>
      </c>
      <c r="K3" s="42">
        <f>'Revenue Model'!K3</f>
        <v>145107.70000000001</v>
      </c>
      <c r="L3" s="42">
        <f>'Revenue Model'!L3</f>
        <v>144984.70000000001</v>
      </c>
      <c r="M3" s="42">
        <f>'Revenue Model'!M3</f>
        <v>146605.35</v>
      </c>
      <c r="N3" s="43">
        <f>'Revenue Model'!N3</f>
        <v>149869.70000000001</v>
      </c>
    </row>
    <row r="4" spans="1:85">
      <c r="B4" s="41" t="s">
        <v>56</v>
      </c>
      <c r="C4" s="42">
        <f>'Profit &amp; Loss Statement'!C6</f>
        <v>1672</v>
      </c>
      <c r="D4" s="42">
        <f>'Profit &amp; Loss Statement'!D6</f>
        <v>1145</v>
      </c>
      <c r="E4" s="42">
        <f>'Profit &amp; Loss Statement'!E6</f>
        <v>3334</v>
      </c>
      <c r="F4" s="42">
        <f>'Profit &amp; Loss Statement'!F6</f>
        <v>2936</v>
      </c>
      <c r="G4" s="42">
        <f>'Profit &amp; Loss Statement'!G6</f>
        <v>1745</v>
      </c>
      <c r="H4" s="42">
        <f>'Profit &amp; Loss Statement'!H6</f>
        <v>2265</v>
      </c>
      <c r="I4" s="43">
        <f>'Profit &amp; Loss Statement'!I6</f>
        <v>4094</v>
      </c>
      <c r="J4" s="42">
        <f>J5*AVERAGE(I3:J3)</f>
        <v>4743.1465707428879</v>
      </c>
      <c r="K4" s="42">
        <f t="shared" ref="K4:N4" si="0">K5*AVERAGE(J3:K3)</f>
        <v>4317.6636418753014</v>
      </c>
      <c r="L4" s="42">
        <f t="shared" si="0"/>
        <v>4006.0407581308177</v>
      </c>
      <c r="M4" s="42">
        <f t="shared" si="0"/>
        <v>4190.8343298008676</v>
      </c>
      <c r="N4" s="43">
        <f t="shared" si="0"/>
        <v>4463.6282424100591</v>
      </c>
    </row>
    <row r="5" spans="1:85" ht="15" thickBot="1">
      <c r="B5" s="44" t="s">
        <v>209</v>
      </c>
      <c r="C5" s="45"/>
      <c r="D5" s="155">
        <f>D4/C4-1</f>
        <v>-0.31519138755980858</v>
      </c>
      <c r="E5" s="155">
        <f t="shared" ref="E5:G5" si="1">E4/AVERAGE(D3:E3)</f>
        <v>4.9504068420740038E-2</v>
      </c>
      <c r="F5" s="155">
        <f t="shared" si="1"/>
        <v>4.0210364851539386E-2</v>
      </c>
      <c r="G5" s="155">
        <f t="shared" si="1"/>
        <v>2.1990901185870375E-2</v>
      </c>
      <c r="H5" s="155">
        <f>H4/AVERAGE(G3:H3)</f>
        <v>2.1911579762019927E-2</v>
      </c>
      <c r="I5" s="156">
        <f>I4/AVERAGE(H3:I3)</f>
        <v>3.1459879816189466E-2</v>
      </c>
      <c r="J5" s="155">
        <f>AVERAGE(E5:I5)</f>
        <v>3.3015358807271841E-2</v>
      </c>
      <c r="K5" s="155">
        <f t="shared" ref="K5:N5" si="2">AVERAGE(F5:J5)</f>
        <v>2.9717616884578201E-2</v>
      </c>
      <c r="L5" s="155">
        <f t="shared" si="2"/>
        <v>2.7619067291185961E-2</v>
      </c>
      <c r="M5" s="155">
        <f t="shared" si="2"/>
        <v>2.8744700512249078E-2</v>
      </c>
      <c r="N5" s="156">
        <f t="shared" si="2"/>
        <v>3.0111324662294908E-2</v>
      </c>
    </row>
    <row r="6" spans="1:85" ht="15.5" thickTop="1" thickBot="1">
      <c r="B6" s="46" t="s">
        <v>70</v>
      </c>
      <c r="C6" s="47">
        <f>C3+C4</f>
        <v>48433</v>
      </c>
      <c r="D6" s="47">
        <f t="shared" ref="D6:H6" si="3">D3+D4</f>
        <v>60181</v>
      </c>
      <c r="E6" s="47">
        <f t="shared" si="3"/>
        <v>78994</v>
      </c>
      <c r="F6" s="47">
        <f t="shared" si="3"/>
        <v>73308</v>
      </c>
      <c r="G6" s="47">
        <f t="shared" si="3"/>
        <v>90075</v>
      </c>
      <c r="H6" s="47">
        <f t="shared" si="3"/>
        <v>120675</v>
      </c>
      <c r="I6" s="48">
        <f>I3+I4</f>
        <v>145952</v>
      </c>
      <c r="J6" s="47">
        <f t="shared" ref="J6:N6" si="4">J3+J4</f>
        <v>150214.8465707429</v>
      </c>
      <c r="K6" s="47">
        <f t="shared" si="4"/>
        <v>149425.3636418753</v>
      </c>
      <c r="L6" s="47">
        <f t="shared" si="4"/>
        <v>148990.74075813082</v>
      </c>
      <c r="M6" s="47">
        <f t="shared" si="4"/>
        <v>150796.18432980086</v>
      </c>
      <c r="N6" s="48">
        <f t="shared" si="4"/>
        <v>154333.32824241006</v>
      </c>
    </row>
    <row r="7" spans="1:85" ht="15" thickBot="1">
      <c r="B7" s="49"/>
      <c r="C7" s="42"/>
      <c r="D7" s="42"/>
      <c r="E7" s="42"/>
      <c r="F7" s="42"/>
      <c r="G7" s="42"/>
      <c r="H7" s="42"/>
      <c r="I7" s="43"/>
      <c r="J7" s="42"/>
      <c r="K7" s="42"/>
      <c r="L7" s="42"/>
      <c r="M7" s="42"/>
      <c r="N7" s="43"/>
    </row>
    <row r="8" spans="1:85" ht="15" thickBot="1">
      <c r="B8" s="26" t="s">
        <v>71</v>
      </c>
      <c r="C8" s="72"/>
      <c r="D8" s="72"/>
      <c r="E8" s="72" t="str">
        <f>E2</f>
        <v>FY20</v>
      </c>
      <c r="F8" s="72" t="str">
        <f t="shared" ref="F8:I8" si="5">F2</f>
        <v>FY21</v>
      </c>
      <c r="G8" s="72" t="str">
        <f t="shared" si="5"/>
        <v>FY22</v>
      </c>
      <c r="H8" s="72" t="str">
        <f t="shared" si="5"/>
        <v>FY23</v>
      </c>
      <c r="I8" s="73" t="str">
        <f t="shared" si="5"/>
        <v>FY24</v>
      </c>
      <c r="J8" s="72"/>
      <c r="K8" s="72"/>
      <c r="L8" s="72"/>
      <c r="M8" s="72"/>
      <c r="N8" s="73"/>
    </row>
    <row r="9" spans="1:85" s="301" customFormat="1">
      <c r="A9" s="446"/>
      <c r="B9" s="343" t="s">
        <v>268</v>
      </c>
      <c r="C9" s="299">
        <f>'Profit &amp; Loss Statement'!C10</f>
        <v>35254</v>
      </c>
      <c r="D9" s="299">
        <f>'Profit &amp; Loss Statement'!D10</f>
        <v>38505</v>
      </c>
      <c r="E9" s="299">
        <f>'Profit &amp; Loss Statement'!E10</f>
        <v>8456</v>
      </c>
      <c r="F9" s="299">
        <f>'Profit &amp; Loss Statement'!F10</f>
        <v>8208</v>
      </c>
      <c r="G9" s="299">
        <f>'Profit &amp; Loss Statement'!G10</f>
        <v>9437</v>
      </c>
      <c r="H9" s="299">
        <f>'Profit &amp; Loss Statement'!H10</f>
        <v>10316</v>
      </c>
      <c r="I9" s="300">
        <f>'Profit &amp; Loss Statement'!I10</f>
        <v>12083</v>
      </c>
      <c r="J9" s="299">
        <f>J10*J11</f>
        <v>13403.710494652771</v>
      </c>
      <c r="K9" s="299">
        <f t="shared" ref="K9:N9" si="6">K10*K11</f>
        <v>14868.778864889911</v>
      </c>
      <c r="L9" s="299">
        <f t="shared" si="6"/>
        <v>16493.983887610379</v>
      </c>
      <c r="M9" s="299">
        <f t="shared" si="6"/>
        <v>18296.82901042762</v>
      </c>
      <c r="N9" s="300">
        <f t="shared" si="6"/>
        <v>20296.730863687495</v>
      </c>
      <c r="O9" s="446"/>
      <c r="P9" s="446"/>
      <c r="Q9" s="446"/>
      <c r="R9" s="446"/>
      <c r="S9" s="446"/>
      <c r="T9" s="446"/>
      <c r="U9" s="446"/>
      <c r="V9" s="446"/>
      <c r="W9" s="446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  <c r="BF9" s="446"/>
      <c r="BG9" s="446"/>
      <c r="BH9" s="446"/>
      <c r="BI9" s="446"/>
      <c r="BJ9" s="446"/>
      <c r="BK9" s="446"/>
      <c r="BL9" s="446"/>
      <c r="BM9" s="446"/>
      <c r="BN9" s="446"/>
      <c r="BO9" s="446"/>
      <c r="BP9" s="446"/>
      <c r="BQ9" s="446"/>
      <c r="BR9" s="446"/>
      <c r="BS9" s="446"/>
      <c r="BT9" s="446"/>
      <c r="BU9" s="446"/>
      <c r="BV9" s="446"/>
      <c r="BW9" s="446"/>
      <c r="BX9" s="446"/>
      <c r="BY9" s="446"/>
      <c r="BZ9" s="446"/>
      <c r="CA9" s="446"/>
      <c r="CB9" s="446"/>
      <c r="CC9" s="446"/>
      <c r="CD9" s="446"/>
      <c r="CE9" s="446"/>
      <c r="CF9" s="446"/>
      <c r="CG9" s="446"/>
    </row>
    <row r="10" spans="1:85" s="346" customFormat="1">
      <c r="A10" s="446"/>
      <c r="B10" s="344" t="s">
        <v>72</v>
      </c>
      <c r="C10" s="347">
        <f>'Revenue Model'!C12</f>
        <v>2253</v>
      </c>
      <c r="D10" s="347">
        <f>'Revenue Model'!D12</f>
        <v>2462</v>
      </c>
      <c r="E10" s="347">
        <f>'Revenue Model'!E12</f>
        <v>1563297</v>
      </c>
      <c r="F10" s="347">
        <f>'Revenue Model'!F12</f>
        <v>1457861</v>
      </c>
      <c r="G10" s="347">
        <f>'Revenue Model'!G12</f>
        <v>1652653</v>
      </c>
      <c r="H10" s="347">
        <f>'Revenue Model'!H12</f>
        <v>1966226</v>
      </c>
      <c r="I10" s="348">
        <f>'Revenue Model'!I12</f>
        <v>2135323</v>
      </c>
      <c r="J10" s="347">
        <f>'Revenue Model'!J12</f>
        <v>2342161.9000797528</v>
      </c>
      <c r="K10" s="347">
        <f>'Revenue Model'!K12</f>
        <v>2569036.3313583927</v>
      </c>
      <c r="L10" s="347">
        <f>'Revenue Model'!L12</f>
        <v>2817887.0434254161</v>
      </c>
      <c r="M10" s="347">
        <f>'Revenue Model'!M12</f>
        <v>3090842.7773406594</v>
      </c>
      <c r="N10" s="348">
        <f>'Revenue Model'!N12</f>
        <v>3390238.4755018228</v>
      </c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  <c r="BF10" s="446"/>
      <c r="BG10" s="446"/>
      <c r="BH10" s="446"/>
      <c r="BI10" s="446"/>
      <c r="BJ10" s="446"/>
      <c r="BK10" s="446"/>
      <c r="BL10" s="446"/>
      <c r="BM10" s="446"/>
      <c r="BN10" s="446"/>
      <c r="BO10" s="446"/>
      <c r="BP10" s="446"/>
      <c r="BQ10" s="446"/>
      <c r="BR10" s="446"/>
      <c r="BS10" s="446"/>
      <c r="BT10" s="446"/>
      <c r="BU10" s="446"/>
      <c r="BV10" s="446"/>
      <c r="BW10" s="446"/>
      <c r="BX10" s="446"/>
      <c r="BY10" s="446"/>
      <c r="BZ10" s="446"/>
      <c r="CA10" s="446"/>
      <c r="CB10" s="446"/>
      <c r="CC10" s="446"/>
      <c r="CD10" s="446"/>
      <c r="CE10" s="446"/>
      <c r="CF10" s="446"/>
      <c r="CG10" s="446"/>
    </row>
    <row r="11" spans="1:85" s="346" customFormat="1">
      <c r="A11" s="446"/>
      <c r="B11" s="344" t="s">
        <v>73</v>
      </c>
      <c r="C11" s="345">
        <f t="shared" ref="C11:D11" si="7">C9/C10</f>
        <v>15.647581003106968</v>
      </c>
      <c r="D11" s="345">
        <f t="shared" si="7"/>
        <v>15.639723801787165</v>
      </c>
      <c r="E11" s="392">
        <f>E9/E10</f>
        <v>5.409080935996167E-3</v>
      </c>
      <c r="F11" s="392">
        <f t="shared" ref="F11:I11" si="8">F9/F10</f>
        <v>5.6301663876048543E-3</v>
      </c>
      <c r="G11" s="392">
        <f t="shared" si="8"/>
        <v>5.7102126096645819E-3</v>
      </c>
      <c r="H11" s="392">
        <f t="shared" si="8"/>
        <v>5.2465993227635071E-3</v>
      </c>
      <c r="I11" s="392">
        <f t="shared" si="8"/>
        <v>5.6586286945815691E-3</v>
      </c>
      <c r="J11" s="345">
        <f>I11*(1+J12)</f>
        <v>5.7227941818182434E-3</v>
      </c>
      <c r="K11" s="345">
        <f t="shared" ref="K11:N11" si="9">J11*(1+K12)</f>
        <v>5.7876872675552858E-3</v>
      </c>
      <c r="L11" s="345">
        <f t="shared" si="9"/>
        <v>5.8533162023273778E-3</v>
      </c>
      <c r="M11" s="345">
        <f t="shared" si="9"/>
        <v>5.9196893302253606E-3</v>
      </c>
      <c r="N11" s="345">
        <f t="shared" si="9"/>
        <v>5.9868150899571081E-3</v>
      </c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  <c r="BF11" s="446"/>
      <c r="BG11" s="446"/>
      <c r="BH11" s="446"/>
      <c r="BI11" s="446"/>
      <c r="BJ11" s="446"/>
      <c r="BK11" s="446"/>
      <c r="BL11" s="446"/>
      <c r="BM11" s="446"/>
      <c r="BN11" s="446"/>
      <c r="BO11" s="446"/>
      <c r="BP11" s="446"/>
      <c r="BQ11" s="446"/>
      <c r="BR11" s="446"/>
      <c r="BS11" s="446"/>
      <c r="BT11" s="446"/>
      <c r="BU11" s="446"/>
      <c r="BV11" s="446"/>
      <c r="BW11" s="446"/>
      <c r="BX11" s="446"/>
      <c r="BY11" s="446"/>
      <c r="BZ11" s="446"/>
      <c r="CA11" s="446"/>
      <c r="CB11" s="446"/>
      <c r="CC11" s="446"/>
      <c r="CD11" s="446"/>
      <c r="CE11" s="446"/>
      <c r="CF11" s="446"/>
      <c r="CG11" s="446"/>
    </row>
    <row r="12" spans="1:85">
      <c r="A12" s="446"/>
      <c r="B12" s="49" t="s">
        <v>74</v>
      </c>
      <c r="C12" s="42"/>
      <c r="D12" s="152"/>
      <c r="E12" s="152"/>
      <c r="F12" s="152"/>
      <c r="G12" s="152" t="s">
        <v>312</v>
      </c>
      <c r="H12" s="152"/>
      <c r="I12" s="153">
        <f>(I11/E11)^(1/4)-1</f>
        <v>1.1339405834865257E-2</v>
      </c>
      <c r="J12" s="153">
        <f>(I11/E11)^(1/4)-1</f>
        <v>1.1339405834865257E-2</v>
      </c>
      <c r="K12" s="153">
        <f>(I11/E11)^(1/4)-1</f>
        <v>1.1339405834865257E-2</v>
      </c>
      <c r="L12" s="153">
        <f>(I11/E11)^(1/4)-1</f>
        <v>1.1339405834865257E-2</v>
      </c>
      <c r="M12" s="153">
        <f>(I11/E11)^(1/4)-1</f>
        <v>1.1339405834865257E-2</v>
      </c>
      <c r="N12" s="153">
        <f>(I11/E11)^(1/4)-1</f>
        <v>1.1339405834865257E-2</v>
      </c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  <c r="BF12" s="446"/>
      <c r="BG12" s="446"/>
      <c r="BH12" s="446"/>
      <c r="BI12" s="446"/>
      <c r="BJ12" s="446"/>
      <c r="BK12" s="446"/>
      <c r="BL12" s="446"/>
      <c r="BM12" s="446"/>
      <c r="BN12" s="446"/>
      <c r="BO12" s="446"/>
      <c r="BP12" s="446"/>
      <c r="BQ12" s="446"/>
      <c r="BR12" s="446"/>
      <c r="BS12" s="446"/>
      <c r="BT12" s="446"/>
      <c r="BU12" s="446"/>
      <c r="BV12" s="446"/>
      <c r="BW12" s="446"/>
      <c r="BX12" s="446"/>
      <c r="BY12" s="446"/>
      <c r="BZ12" s="446"/>
      <c r="CA12" s="446"/>
      <c r="CB12" s="446"/>
      <c r="CC12" s="446"/>
      <c r="CD12" s="446"/>
      <c r="CE12" s="446"/>
      <c r="CF12" s="446"/>
      <c r="CG12" s="446"/>
    </row>
    <row r="13" spans="1:85" s="352" customFormat="1">
      <c r="A13" s="446"/>
      <c r="B13" s="349" t="s">
        <v>269</v>
      </c>
      <c r="C13" s="350">
        <f>'Profit &amp; Loss Statement'!C13</f>
        <v>13862</v>
      </c>
      <c r="D13" s="350">
        <f>'Profit &amp; Loss Statement'!D13</f>
        <v>15048</v>
      </c>
      <c r="E13" s="350">
        <f>'Profit &amp; Loss Statement'!E13</f>
        <v>63420</v>
      </c>
      <c r="F13" s="350">
        <f>'Profit &amp; Loss Statement'!F13</f>
        <v>59846</v>
      </c>
      <c r="G13" s="350">
        <f>'Profit &amp; Loss Statement'!G13</f>
        <v>75976</v>
      </c>
      <c r="H13" s="350">
        <f>'Profit &amp; Loss Statement'!H13</f>
        <v>99846</v>
      </c>
      <c r="I13" s="351">
        <f>'Profit &amp; Loss Statement'!I13</f>
        <v>116505</v>
      </c>
      <c r="J13" s="350">
        <f>J14*AVERAGE(I3:J3)</f>
        <v>131595.57923582644</v>
      </c>
      <c r="K13" s="350">
        <f t="shared" ref="K13:N13" si="10">K14*AVERAGE(J3:K3)</f>
        <v>132337.54412735073</v>
      </c>
      <c r="L13" s="350">
        <f t="shared" si="10"/>
        <v>134762.0997061216</v>
      </c>
      <c r="M13" s="350">
        <f t="shared" si="10"/>
        <v>134630.59930497262</v>
      </c>
      <c r="N13" s="351">
        <f t="shared" si="10"/>
        <v>135626.48630620283</v>
      </c>
      <c r="O13" s="446"/>
      <c r="P13" s="448"/>
      <c r="Q13" s="446"/>
      <c r="R13" s="446"/>
      <c r="S13" s="446"/>
      <c r="T13" s="446"/>
      <c r="U13" s="446"/>
      <c r="V13" s="446"/>
      <c r="W13" s="446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  <c r="BF13" s="446"/>
      <c r="BG13" s="446"/>
      <c r="BH13" s="446"/>
      <c r="BI13" s="446"/>
      <c r="BJ13" s="446"/>
      <c r="BK13" s="446"/>
      <c r="BL13" s="446"/>
      <c r="BM13" s="446"/>
      <c r="BN13" s="446"/>
      <c r="BO13" s="446"/>
      <c r="BP13" s="446"/>
      <c r="BQ13" s="446"/>
      <c r="BR13" s="446"/>
      <c r="BS13" s="446"/>
      <c r="BT13" s="446"/>
      <c r="BU13" s="446"/>
      <c r="BV13" s="446"/>
      <c r="BW13" s="446"/>
      <c r="BX13" s="446"/>
      <c r="BY13" s="446"/>
      <c r="BZ13" s="446"/>
      <c r="CA13" s="446"/>
      <c r="CB13" s="446"/>
      <c r="CC13" s="446"/>
      <c r="CD13" s="446"/>
      <c r="CE13" s="446"/>
      <c r="CF13" s="446"/>
      <c r="CG13" s="446"/>
    </row>
    <row r="14" spans="1:85" s="352" customFormat="1">
      <c r="A14" s="446"/>
      <c r="B14" s="349" t="s">
        <v>75</v>
      </c>
      <c r="C14" s="353">
        <f t="shared" ref="C14:D14" si="11">C13/C3</f>
        <v>0.29644361754453497</v>
      </c>
      <c r="D14" s="353">
        <f t="shared" si="11"/>
        <v>0.25489531811098315</v>
      </c>
      <c r="E14" s="353">
        <f t="shared" ref="E14:H14" si="12">E13/AVERAGE(D3:E3)</f>
        <v>0.94167607055888813</v>
      </c>
      <c r="F14" s="353">
        <f t="shared" si="12"/>
        <v>0.81962857455900073</v>
      </c>
      <c r="G14" s="353">
        <f t="shared" si="12"/>
        <v>0.95746745472646844</v>
      </c>
      <c r="H14" s="353">
        <f t="shared" si="12"/>
        <v>0.96590887104575796</v>
      </c>
      <c r="I14" s="354">
        <f>I13/AVERAGE(H3:I3)</f>
        <v>0.89526949144727741</v>
      </c>
      <c r="J14" s="353">
        <f>AVERAGE(E14:I14)</f>
        <v>0.91599009246747853</v>
      </c>
      <c r="K14" s="353">
        <f t="shared" ref="K14:N14" si="13">AVERAGE(F14:J14)</f>
        <v>0.91085289684919668</v>
      </c>
      <c r="L14" s="353">
        <f t="shared" si="13"/>
        <v>0.92909776130723576</v>
      </c>
      <c r="M14" s="353">
        <f t="shared" si="13"/>
        <v>0.92342382262338918</v>
      </c>
      <c r="N14" s="354">
        <f t="shared" si="13"/>
        <v>0.91492681293891542</v>
      </c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  <c r="BF14" s="446"/>
      <c r="BG14" s="446"/>
      <c r="BH14" s="446"/>
      <c r="BI14" s="446"/>
      <c r="BJ14" s="446"/>
      <c r="BK14" s="446"/>
      <c r="BL14" s="446"/>
      <c r="BM14" s="446"/>
      <c r="BN14" s="446"/>
      <c r="BO14" s="446"/>
      <c r="BP14" s="446"/>
      <c r="BQ14" s="446"/>
      <c r="BR14" s="446"/>
      <c r="BS14" s="446"/>
      <c r="BT14" s="446"/>
      <c r="BU14" s="446"/>
      <c r="BV14" s="446"/>
      <c r="BW14" s="446"/>
      <c r="BX14" s="446"/>
      <c r="BY14" s="446"/>
      <c r="BZ14" s="446"/>
      <c r="CA14" s="446"/>
      <c r="CB14" s="446"/>
      <c r="CC14" s="446"/>
      <c r="CD14" s="446"/>
      <c r="CE14" s="446"/>
      <c r="CF14" s="446"/>
      <c r="CG14" s="446"/>
    </row>
    <row r="15" spans="1:85">
      <c r="B15" s="49" t="s">
        <v>61</v>
      </c>
      <c r="C15" s="42">
        <f>'Profit &amp; Loss Statement'!C17</f>
        <v>0</v>
      </c>
      <c r="D15" s="42">
        <f>'Profit &amp; Loss Statement'!D17</f>
        <v>1258</v>
      </c>
      <c r="E15" s="42">
        <f>'Profit &amp; Loss Statement'!E17</f>
        <v>134</v>
      </c>
      <c r="F15" s="42">
        <f>'Profit &amp; Loss Statement'!F17</f>
        <v>102</v>
      </c>
      <c r="G15" s="42">
        <f>'Profit &amp; Loss Statement'!G17</f>
        <v>127</v>
      </c>
      <c r="H15" s="42">
        <f>'Profit &amp; Loss Statement'!H17</f>
        <v>252</v>
      </c>
      <c r="I15" s="43">
        <f>'Profit &amp; Loss Statement'!I17</f>
        <v>194</v>
      </c>
      <c r="J15" s="42">
        <v>0</v>
      </c>
      <c r="K15" s="42">
        <v>0</v>
      </c>
      <c r="L15" s="42">
        <v>0</v>
      </c>
      <c r="M15" s="42">
        <v>0</v>
      </c>
      <c r="N15" s="43">
        <v>0</v>
      </c>
      <c r="O15" s="446"/>
      <c r="P15" s="446"/>
      <c r="Q15" s="446"/>
      <c r="R15" s="446"/>
      <c r="S15" s="446"/>
      <c r="T15" s="446"/>
      <c r="U15" s="446"/>
      <c r="V15" s="446"/>
      <c r="W15" s="446"/>
      <c r="X15" s="446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  <c r="BF15" s="446"/>
      <c r="BG15" s="446"/>
      <c r="BH15" s="446"/>
      <c r="BI15" s="446"/>
      <c r="BJ15" s="446"/>
      <c r="BK15" s="446"/>
      <c r="BL15" s="446"/>
      <c r="BM15" s="446"/>
      <c r="BN15" s="446"/>
      <c r="BO15" s="446"/>
      <c r="BP15" s="446"/>
      <c r="BQ15" s="446"/>
      <c r="BR15" s="446"/>
      <c r="BS15" s="446"/>
      <c r="BT15" s="446"/>
      <c r="BU15" s="446"/>
      <c r="BV15" s="446"/>
      <c r="BW15" s="446"/>
      <c r="BX15" s="446"/>
      <c r="BY15" s="446"/>
      <c r="BZ15" s="446"/>
      <c r="CA15" s="446"/>
      <c r="CB15" s="446"/>
      <c r="CC15" s="446"/>
      <c r="CD15" s="446"/>
      <c r="CE15" s="446"/>
      <c r="CF15" s="446"/>
      <c r="CG15" s="446"/>
    </row>
    <row r="16" spans="1:85">
      <c r="B16" s="41" t="s">
        <v>62</v>
      </c>
      <c r="C16" s="52"/>
      <c r="D16" s="52"/>
      <c r="E16" s="52">
        <f>'Profit &amp; Loss Statement'!E18</f>
        <v>7103</v>
      </c>
      <c r="F16" s="52">
        <f>'Profit &amp; Loss Statement'!F18</f>
        <v>5321</v>
      </c>
      <c r="G16" s="52">
        <f>'Profit &amp; Loss Statement'!G18</f>
        <v>4697</v>
      </c>
      <c r="H16" s="52">
        <f>'Profit &amp; Loss Statement'!H18</f>
        <v>10439</v>
      </c>
      <c r="I16" s="53">
        <f>'Profit &amp; Loss Statement'!I18</f>
        <v>17424</v>
      </c>
      <c r="J16" s="52">
        <f>'Profit &amp; Loss Statement'!J18</f>
        <v>26218.577869657864</v>
      </c>
      <c r="K16" s="52">
        <f>'Profit &amp; Loss Statement'!K18</f>
        <v>37846.998803446339</v>
      </c>
      <c r="L16" s="52">
        <f>'Profit &amp; Loss Statement'!L18</f>
        <v>51522.612047458228</v>
      </c>
      <c r="M16" s="52">
        <f>'Profit &amp; Loss Statement'!M18</f>
        <v>67038.159115315357</v>
      </c>
      <c r="N16" s="53">
        <f>'Profit &amp; Loss Statement'!N18</f>
        <v>84533.923316701912</v>
      </c>
      <c r="P16" s="25"/>
      <c r="Q16" s="279"/>
    </row>
    <row r="17" spans="2:18">
      <c r="B17" s="49" t="s">
        <v>76</v>
      </c>
      <c r="C17" s="42"/>
      <c r="D17" s="42"/>
      <c r="E17" s="42"/>
      <c r="F17" s="42"/>
      <c r="G17" s="42"/>
      <c r="H17" s="42"/>
      <c r="I17" s="43"/>
      <c r="J17" s="163">
        <v>0.25169999999999998</v>
      </c>
      <c r="K17" s="163">
        <v>0.25169999999999998</v>
      </c>
      <c r="L17" s="163">
        <v>0.25169999999999998</v>
      </c>
      <c r="M17" s="163">
        <v>0.25169999999999998</v>
      </c>
      <c r="N17" s="164">
        <v>0.25169999999999998</v>
      </c>
      <c r="P17" s="25" t="s">
        <v>257</v>
      </c>
      <c r="Q17" s="25"/>
      <c r="R17" s="25"/>
    </row>
    <row r="18" spans="2:18" ht="15" thickBot="1">
      <c r="B18" s="46" t="s">
        <v>63</v>
      </c>
      <c r="C18" s="54"/>
      <c r="D18" s="54"/>
      <c r="E18" s="54"/>
      <c r="F18" s="54"/>
      <c r="G18" s="54"/>
      <c r="H18" s="54"/>
      <c r="I18" s="55"/>
      <c r="J18" s="47">
        <f>J16*J17</f>
        <v>6599.2160497928835</v>
      </c>
      <c r="K18" s="47">
        <f t="shared" ref="K18:N18" si="14">K16*K17</f>
        <v>9526.0895988274424</v>
      </c>
      <c r="L18" s="47">
        <f t="shared" si="14"/>
        <v>12968.241452345235</v>
      </c>
      <c r="M18" s="47">
        <f t="shared" si="14"/>
        <v>16873.504649324874</v>
      </c>
      <c r="N18" s="48">
        <f t="shared" si="14"/>
        <v>21277.18849881387</v>
      </c>
      <c r="P18" s="279">
        <v>0.25169999999999998</v>
      </c>
      <c r="Q18" s="25"/>
      <c r="R18" s="25"/>
    </row>
    <row r="19" spans="2:18">
      <c r="B19" s="49"/>
      <c r="C19" s="42"/>
      <c r="D19" s="42"/>
      <c r="E19" s="42"/>
      <c r="F19" s="42"/>
      <c r="G19" s="42"/>
      <c r="H19" s="42"/>
      <c r="I19" s="43"/>
      <c r="J19" s="42"/>
      <c r="K19" s="42"/>
      <c r="L19" s="42"/>
      <c r="M19" s="42"/>
      <c r="N19" s="43"/>
      <c r="Q19" s="149"/>
    </row>
    <row r="20" spans="2:18" ht="15" thickBot="1">
      <c r="B20" s="49"/>
      <c r="C20" s="42"/>
      <c r="D20" s="42"/>
      <c r="E20" s="42"/>
      <c r="F20" s="42"/>
      <c r="G20" s="42"/>
      <c r="H20" s="42"/>
      <c r="I20" s="43"/>
      <c r="J20" s="42"/>
      <c r="K20" s="42"/>
      <c r="L20" s="42"/>
      <c r="M20" s="42"/>
      <c r="N20" s="43"/>
      <c r="Q20" s="149"/>
    </row>
    <row r="21" spans="2:18" ht="15" thickBot="1">
      <c r="B21" s="26" t="s">
        <v>77</v>
      </c>
      <c r="C21" s="72" t="str">
        <f>C2</f>
        <v>FY18</v>
      </c>
      <c r="D21" s="72" t="str">
        <f t="shared" ref="D21:M21" si="15">D2</f>
        <v>FY19</v>
      </c>
      <c r="E21" s="72" t="str">
        <f t="shared" si="15"/>
        <v>FY20</v>
      </c>
      <c r="F21" s="72" t="str">
        <f t="shared" si="15"/>
        <v>FY21</v>
      </c>
      <c r="G21" s="72" t="str">
        <f t="shared" si="15"/>
        <v>FY22</v>
      </c>
      <c r="H21" s="72" t="str">
        <f t="shared" si="15"/>
        <v>FY23</v>
      </c>
      <c r="I21" s="73" t="str">
        <f>I2</f>
        <v>FY24</v>
      </c>
      <c r="J21" s="72" t="str">
        <f t="shared" si="15"/>
        <v>FY25E</v>
      </c>
      <c r="K21" s="72" t="str">
        <f t="shared" si="15"/>
        <v>FY26E</v>
      </c>
      <c r="L21" s="72" t="str">
        <f t="shared" si="15"/>
        <v>FY27E</v>
      </c>
      <c r="M21" s="72" t="str">
        <f t="shared" si="15"/>
        <v>FY28E</v>
      </c>
      <c r="N21" s="73" t="str">
        <f>N2</f>
        <v>FY29E</v>
      </c>
    </row>
    <row r="22" spans="2:18">
      <c r="B22" s="33" t="s">
        <v>3</v>
      </c>
      <c r="C22" s="29">
        <f>'Balance Sheet'!C6</f>
        <v>14</v>
      </c>
      <c r="D22" s="29">
        <f>'Balance Sheet'!D6</f>
        <v>0</v>
      </c>
      <c r="E22" s="29">
        <f>'Balance Sheet'!E6</f>
        <v>1344</v>
      </c>
      <c r="F22" s="29">
        <f>'Balance Sheet'!F6</f>
        <v>1199</v>
      </c>
      <c r="G22" s="29">
        <f>'Balance Sheet'!G6</f>
        <v>2646</v>
      </c>
      <c r="H22" s="29">
        <f>'Balance Sheet'!H6</f>
        <v>4054</v>
      </c>
      <c r="I22" s="30">
        <f>'Balance Sheet'!I6</f>
        <v>7504</v>
      </c>
      <c r="J22" s="29">
        <f>I22*40%+H22*30%+G22*10%+F22*10%+E22*10%</f>
        <v>4736.7</v>
      </c>
      <c r="K22" s="29">
        <f t="shared" ref="K22:N22" si="16">J22*40%+I22*30%+H22*10%+G22*10%+F22*10%</f>
        <v>4935.78</v>
      </c>
      <c r="L22" s="29">
        <f t="shared" si="16"/>
        <v>4815.7219999999998</v>
      </c>
      <c r="M22" s="29">
        <f t="shared" si="16"/>
        <v>5036.4928</v>
      </c>
      <c r="N22" s="30">
        <f t="shared" si="16"/>
        <v>5176.9617199999993</v>
      </c>
    </row>
    <row r="23" spans="2:18">
      <c r="B23" s="33" t="s">
        <v>4</v>
      </c>
      <c r="C23" s="29">
        <f>'Balance Sheet'!C7</f>
        <v>2961</v>
      </c>
      <c r="D23" s="29">
        <f>'Balance Sheet'!D7</f>
        <v>1736</v>
      </c>
      <c r="E23" s="29">
        <f>'Balance Sheet'!E7</f>
        <v>0</v>
      </c>
      <c r="F23" s="29">
        <f>'Balance Sheet'!F7</f>
        <v>0</v>
      </c>
      <c r="G23" s="29">
        <f>'Balance Sheet'!G7</f>
        <v>0</v>
      </c>
      <c r="H23" s="29">
        <f>'Balance Sheet'!H7</f>
        <v>0</v>
      </c>
      <c r="I23" s="30">
        <f>'Balance Sheet'!I7</f>
        <v>0</v>
      </c>
      <c r="J23" s="29">
        <f>I23</f>
        <v>0</v>
      </c>
      <c r="K23" s="29">
        <f t="shared" ref="K23:N23" si="17">J23</f>
        <v>0</v>
      </c>
      <c r="L23" s="29">
        <f t="shared" si="17"/>
        <v>0</v>
      </c>
      <c r="M23" s="29">
        <f t="shared" si="17"/>
        <v>0</v>
      </c>
      <c r="N23" s="30">
        <f t="shared" si="17"/>
        <v>0</v>
      </c>
    </row>
    <row r="24" spans="2:18">
      <c r="B24" s="33" t="s">
        <v>6</v>
      </c>
      <c r="C24" s="29">
        <f>'Balance Sheet'!C9</f>
        <v>0</v>
      </c>
      <c r="D24" s="29">
        <f>'Balance Sheet'!D9</f>
        <v>17</v>
      </c>
      <c r="E24" s="29">
        <f>'Balance Sheet'!E9</f>
        <v>71</v>
      </c>
      <c r="F24" s="29">
        <f>'Balance Sheet'!F9</f>
        <v>298</v>
      </c>
      <c r="G24" s="29">
        <f>'Balance Sheet'!G9</f>
        <v>290</v>
      </c>
      <c r="H24" s="29">
        <f>'Balance Sheet'!H9</f>
        <v>89</v>
      </c>
      <c r="I24" s="30">
        <f>'Balance Sheet'!I9</f>
        <v>230</v>
      </c>
      <c r="J24" s="29">
        <f t="shared" ref="J24:N24" si="18">I24*40%+H24*30%+G24*10%+F24*10%+E24*10%</f>
        <v>184.6</v>
      </c>
      <c r="K24" s="29">
        <f t="shared" si="18"/>
        <v>210.54000000000002</v>
      </c>
      <c r="L24" s="29">
        <f t="shared" si="18"/>
        <v>200.49600000000001</v>
      </c>
      <c r="M24" s="29">
        <f t="shared" si="18"/>
        <v>193.72040000000004</v>
      </c>
      <c r="N24" s="30">
        <f t="shared" si="18"/>
        <v>200.15096000000003</v>
      </c>
    </row>
    <row r="25" spans="2:18">
      <c r="B25" s="33"/>
      <c r="C25" s="29"/>
      <c r="D25" s="29"/>
      <c r="E25" s="29"/>
      <c r="F25" s="29"/>
      <c r="G25" s="29"/>
      <c r="H25" s="29"/>
      <c r="I25" s="30"/>
      <c r="J25" s="29"/>
      <c r="K25" s="29"/>
      <c r="L25" s="29"/>
      <c r="M25" s="29"/>
      <c r="N25" s="30"/>
    </row>
    <row r="26" spans="2:18">
      <c r="B26" s="32" t="s">
        <v>8</v>
      </c>
      <c r="C26" s="29"/>
      <c r="D26" s="29"/>
      <c r="E26" s="29"/>
      <c r="F26" s="29"/>
      <c r="G26" s="29"/>
      <c r="H26" s="29"/>
      <c r="I26" s="30"/>
      <c r="J26" s="29"/>
      <c r="K26" s="29"/>
      <c r="L26" s="29"/>
      <c r="M26" s="29"/>
      <c r="N26" s="30"/>
    </row>
    <row r="27" spans="2:18">
      <c r="B27" s="33" t="s">
        <v>9</v>
      </c>
      <c r="C27" s="29">
        <f>'Balance Sheet'!C13</f>
        <v>585</v>
      </c>
      <c r="D27" s="29">
        <f>'Balance Sheet'!D13</f>
        <v>618</v>
      </c>
      <c r="E27" s="29">
        <f>'Balance Sheet'!E13</f>
        <v>0.2</v>
      </c>
      <c r="F27" s="29">
        <f>'Balance Sheet'!F13</f>
        <v>0.2</v>
      </c>
      <c r="G27" s="29">
        <f>'Balance Sheet'!G13</f>
        <v>0.2</v>
      </c>
      <c r="H27" s="29">
        <f>'Balance Sheet'!H13</f>
        <v>0.2</v>
      </c>
      <c r="I27" s="30">
        <f>'Balance Sheet'!I13</f>
        <v>0.1</v>
      </c>
      <c r="J27" s="29">
        <f t="shared" ref="J27:N27" si="19">I27*40%+H27*30%+G27*10%+F27*10%+E27*10%</f>
        <v>0.16000000000000003</v>
      </c>
      <c r="K27" s="29">
        <f t="shared" si="19"/>
        <v>0.15400000000000003</v>
      </c>
      <c r="L27" s="29">
        <f t="shared" si="19"/>
        <v>0.15960000000000008</v>
      </c>
      <c r="M27" s="29">
        <f t="shared" si="19"/>
        <v>0.15604000000000007</v>
      </c>
      <c r="N27" s="30">
        <f t="shared" si="19"/>
        <v>0.15169600000000008</v>
      </c>
    </row>
    <row r="28" spans="2:18">
      <c r="B28" s="33" t="s">
        <v>10</v>
      </c>
      <c r="C28" s="29">
        <f>'Balance Sheet'!C14</f>
        <v>185</v>
      </c>
      <c r="D28" s="29">
        <f>'Balance Sheet'!D14</f>
        <v>239</v>
      </c>
      <c r="E28" s="29">
        <f>'Balance Sheet'!E14</f>
        <v>36.5</v>
      </c>
      <c r="F28" s="29">
        <f>'Balance Sheet'!F14</f>
        <v>37</v>
      </c>
      <c r="G28" s="29">
        <f>'Balance Sheet'!G14</f>
        <v>37.5</v>
      </c>
      <c r="H28" s="29">
        <f>'Balance Sheet'!H14</f>
        <v>240</v>
      </c>
      <c r="I28" s="30">
        <f>'Balance Sheet'!I14</f>
        <v>298</v>
      </c>
      <c r="J28" s="29">
        <f t="shared" ref="J28:N28" si="20">I28*40%+H28*30%+G28*10%+F28*10%+E28*10%</f>
        <v>202.29999999999998</v>
      </c>
      <c r="K28" s="29">
        <f t="shared" si="20"/>
        <v>201.76999999999998</v>
      </c>
      <c r="L28" s="29">
        <f t="shared" si="20"/>
        <v>198.94800000000001</v>
      </c>
      <c r="M28" s="29">
        <f t="shared" si="20"/>
        <v>214.14020000000002</v>
      </c>
      <c r="N28" s="30">
        <f t="shared" si="20"/>
        <v>215.54748000000001</v>
      </c>
    </row>
    <row r="29" spans="2:18">
      <c r="B29" s="33" t="s">
        <v>11</v>
      </c>
      <c r="C29" s="29">
        <f>'Balance Sheet'!C15</f>
        <v>584</v>
      </c>
      <c r="D29" s="29">
        <f>'Balance Sheet'!D15</f>
        <v>920</v>
      </c>
      <c r="E29" s="29">
        <f>'Balance Sheet'!E15</f>
        <v>0</v>
      </c>
      <c r="F29" s="29">
        <f>'Balance Sheet'!F15</f>
        <v>541</v>
      </c>
      <c r="G29" s="29">
        <f>'Balance Sheet'!G15</f>
        <v>545</v>
      </c>
      <c r="H29" s="29">
        <f>'Balance Sheet'!H15</f>
        <v>605</v>
      </c>
      <c r="I29" s="30">
        <f>'Balance Sheet'!I15</f>
        <v>584</v>
      </c>
      <c r="J29" s="29">
        <f t="shared" ref="J29:N29" si="21">I29*40%+H29*30%+G29*10%+F29*10%+E29*10%</f>
        <v>523.70000000000005</v>
      </c>
      <c r="K29" s="29">
        <f t="shared" si="21"/>
        <v>553.78</v>
      </c>
      <c r="L29" s="29">
        <f t="shared" si="21"/>
        <v>552.02200000000005</v>
      </c>
      <c r="M29" s="29">
        <f t="shared" si="21"/>
        <v>558.21280000000002</v>
      </c>
      <c r="N29" s="30">
        <f t="shared" si="21"/>
        <v>555.03971999999999</v>
      </c>
    </row>
    <row r="30" spans="2:18">
      <c r="B30" s="33" t="s">
        <v>12</v>
      </c>
      <c r="C30" s="29">
        <f>'Balance Sheet'!C16</f>
        <v>40</v>
      </c>
      <c r="D30" s="29">
        <f>'Balance Sheet'!D16</f>
        <v>48</v>
      </c>
      <c r="E30" s="29">
        <f>'Balance Sheet'!E16</f>
        <v>1722</v>
      </c>
      <c r="F30" s="29">
        <f>'Balance Sheet'!F16</f>
        <v>1687</v>
      </c>
      <c r="G30" s="29">
        <f>'Balance Sheet'!G16</f>
        <v>2520</v>
      </c>
      <c r="H30" s="29">
        <f>'Balance Sheet'!H16</f>
        <v>2323</v>
      </c>
      <c r="I30" s="30">
        <f>'Balance Sheet'!I16</f>
        <v>2805</v>
      </c>
      <c r="J30" s="29">
        <f t="shared" ref="J30:N30" si="22">I30*40%+H30*30%+G30*10%+F30*10%+E30*10%</f>
        <v>2411.7999999999997</v>
      </c>
      <c r="K30" s="29">
        <f t="shared" si="22"/>
        <v>2459.2199999999993</v>
      </c>
      <c r="L30" s="29">
        <f t="shared" si="22"/>
        <v>2472.0279999999998</v>
      </c>
      <c r="M30" s="29">
        <f t="shared" si="22"/>
        <v>2480.5572000000002</v>
      </c>
      <c r="N30" s="30">
        <f t="shared" si="22"/>
        <v>2501.4332800000002</v>
      </c>
    </row>
    <row r="31" spans="2:18">
      <c r="B31" s="33" t="s">
        <v>13</v>
      </c>
      <c r="C31" s="29">
        <f>'Balance Sheet'!C17</f>
        <v>0</v>
      </c>
      <c r="D31" s="29">
        <f>'Balance Sheet'!D17</f>
        <v>0</v>
      </c>
      <c r="E31" s="29">
        <f>'Balance Sheet'!E17</f>
        <v>0</v>
      </c>
      <c r="F31" s="29">
        <f>'Balance Sheet'!F17</f>
        <v>0</v>
      </c>
      <c r="G31" s="29">
        <f>'Balance Sheet'!G17</f>
        <v>141</v>
      </c>
      <c r="H31" s="29">
        <f>'Balance Sheet'!H17</f>
        <v>279</v>
      </c>
      <c r="I31" s="30">
        <f>'Balance Sheet'!I17</f>
        <v>47</v>
      </c>
      <c r="J31" s="29">
        <f t="shared" ref="J31:N31" si="23">I31*40%+H31*30%+G31*10%+F31*10%+E31*10%</f>
        <v>116.6</v>
      </c>
      <c r="K31" s="29">
        <f t="shared" si="23"/>
        <v>102.74000000000001</v>
      </c>
      <c r="L31" s="29">
        <f t="shared" si="23"/>
        <v>122.77600000000001</v>
      </c>
      <c r="M31" s="29">
        <f t="shared" si="23"/>
        <v>124.19240000000001</v>
      </c>
      <c r="N31" s="30">
        <f t="shared" si="23"/>
        <v>113.14376</v>
      </c>
    </row>
    <row r="32" spans="2:18">
      <c r="B32" s="33"/>
      <c r="C32" s="29"/>
      <c r="D32" s="29"/>
      <c r="E32" s="29"/>
      <c r="F32" s="29"/>
      <c r="G32" s="29"/>
      <c r="H32" s="29"/>
      <c r="I32" s="30"/>
      <c r="J32" s="29"/>
      <c r="K32" s="29"/>
      <c r="L32" s="29"/>
      <c r="M32" s="29"/>
      <c r="N32" s="30"/>
    </row>
    <row r="33" spans="2:14">
      <c r="B33" s="41" t="s">
        <v>24</v>
      </c>
      <c r="C33" s="23"/>
      <c r="D33" s="23"/>
      <c r="E33" s="23"/>
      <c r="F33" s="23"/>
      <c r="G33" s="23"/>
      <c r="H33" s="23"/>
      <c r="I33" s="165"/>
      <c r="J33" s="23"/>
      <c r="K33" s="23"/>
      <c r="L33" s="23"/>
      <c r="M33" s="23"/>
      <c r="N33" s="165"/>
    </row>
    <row r="34" spans="2:14">
      <c r="B34" s="343" t="s">
        <v>25</v>
      </c>
      <c r="C34" s="299">
        <f>'Balance Sheet'!C34</f>
        <v>375</v>
      </c>
      <c r="D34" s="299">
        <f>'Balance Sheet'!D34</f>
        <v>597</v>
      </c>
      <c r="E34" s="299">
        <f>'Balance Sheet'!E34</f>
        <v>151</v>
      </c>
      <c r="F34" s="299">
        <f>'Balance Sheet'!F34</f>
        <v>151</v>
      </c>
      <c r="G34" s="299">
        <f>'Balance Sheet'!G34</f>
        <v>151</v>
      </c>
      <c r="H34" s="299">
        <f>'Balance Sheet'!H34</f>
        <v>157</v>
      </c>
      <c r="I34" s="300">
        <f>'Balance Sheet'!I34</f>
        <v>157</v>
      </c>
      <c r="J34" s="299">
        <f>I34</f>
        <v>157</v>
      </c>
      <c r="K34" s="299">
        <f t="shared" ref="K34:N34" si="24">J34</f>
        <v>157</v>
      </c>
      <c r="L34" s="299">
        <f t="shared" si="24"/>
        <v>157</v>
      </c>
      <c r="M34" s="299">
        <f t="shared" si="24"/>
        <v>157</v>
      </c>
      <c r="N34" s="300">
        <f t="shared" si="24"/>
        <v>157</v>
      </c>
    </row>
    <row r="35" spans="2:14">
      <c r="B35" s="343" t="s">
        <v>26</v>
      </c>
      <c r="C35" s="299">
        <f>'Balance Sheet'!C35</f>
        <v>2229</v>
      </c>
      <c r="D35" s="299">
        <f>'Balance Sheet'!D35</f>
        <v>2230</v>
      </c>
      <c r="E35" s="299">
        <f>'Balance Sheet'!E35</f>
        <v>19</v>
      </c>
      <c r="F35" s="299">
        <f>'Balance Sheet'!F35</f>
        <v>0</v>
      </c>
      <c r="G35" s="299">
        <f>'Balance Sheet'!G35</f>
        <v>0</v>
      </c>
      <c r="H35" s="299">
        <f>'Balance Sheet'!H35</f>
        <v>0</v>
      </c>
      <c r="I35" s="300">
        <f>'Balance Sheet'!I35</f>
        <v>0</v>
      </c>
      <c r="J35" s="299">
        <v>0</v>
      </c>
      <c r="K35" s="299">
        <v>0</v>
      </c>
      <c r="L35" s="299">
        <v>0</v>
      </c>
      <c r="M35" s="299">
        <v>0</v>
      </c>
      <c r="N35" s="300">
        <v>0</v>
      </c>
    </row>
    <row r="36" spans="2:14">
      <c r="B36" s="343" t="s">
        <v>214</v>
      </c>
      <c r="C36" s="299">
        <f>'Balance Sheet'!C36</f>
        <v>-13492</v>
      </c>
      <c r="D36" s="299">
        <f>'Balance Sheet'!D36</f>
        <v>-9432</v>
      </c>
      <c r="E36" s="299">
        <f>'Balance Sheet'!E36</f>
        <v>49262</v>
      </c>
      <c r="F36" s="299">
        <f>'Balance Sheet'!F36</f>
        <v>52350</v>
      </c>
      <c r="G36" s="299">
        <f>'Balance Sheet'!G36</f>
        <v>55182</v>
      </c>
      <c r="H36" s="299">
        <f>'Balance Sheet'!H36</f>
        <v>74443</v>
      </c>
      <c r="I36" s="300">
        <f>'Balance Sheet'!I36</f>
        <v>85479</v>
      </c>
      <c r="J36" s="299">
        <f>I36+'Profit &amp; Loss Statement'!J25</f>
        <v>105098.36181986498</v>
      </c>
      <c r="K36" s="299">
        <f>J36+'Profit &amp; Loss Statement'!K25</f>
        <v>133419.27102448387</v>
      </c>
      <c r="L36" s="299">
        <f>K36+'Profit &amp; Loss Statement'!L25</f>
        <v>171973.64161959686</v>
      </c>
      <c r="M36" s="299">
        <f>L36+'Profit &amp; Loss Statement'!M25</f>
        <v>222138.29608558735</v>
      </c>
      <c r="N36" s="300">
        <f>M36+'Profit &amp; Loss Statement'!N25</f>
        <v>285395.03090347542</v>
      </c>
    </row>
    <row r="37" spans="2:14">
      <c r="B37" s="49"/>
      <c r="C37" s="23"/>
      <c r="D37" s="23"/>
      <c r="E37" s="23"/>
      <c r="F37" s="23"/>
      <c r="G37" s="23"/>
      <c r="H37" s="23"/>
      <c r="I37" s="165"/>
      <c r="J37" s="23"/>
      <c r="K37" s="23"/>
      <c r="L37" s="23"/>
      <c r="M37" s="23"/>
      <c r="N37" s="165"/>
    </row>
    <row r="38" spans="2:14">
      <c r="B38" s="33" t="s">
        <v>155</v>
      </c>
      <c r="C38" s="29">
        <f>'Balance Sheet'!C43</f>
        <v>0</v>
      </c>
      <c r="D38" s="29">
        <f>'Balance Sheet'!D43</f>
        <v>0</v>
      </c>
      <c r="E38" s="29">
        <f>'Balance Sheet'!E43</f>
        <v>2116</v>
      </c>
      <c r="F38" s="29">
        <f>'Balance Sheet'!F43</f>
        <v>2129</v>
      </c>
      <c r="G38" s="29">
        <f>'Balance Sheet'!G43</f>
        <v>2181</v>
      </c>
      <c r="H38" s="29">
        <f>'Balance Sheet'!H43</f>
        <v>2585</v>
      </c>
      <c r="I38" s="30">
        <f>'Balance Sheet'!I43</f>
        <v>3162</v>
      </c>
      <c r="J38" s="29">
        <f t="shared" ref="J38:N38" si="25">I38*40%+H38*30%+G38*10%+F38*10%+E38*10%</f>
        <v>2682.9</v>
      </c>
      <c r="K38" s="29">
        <f t="shared" si="25"/>
        <v>2711.26</v>
      </c>
      <c r="L38" s="29">
        <f t="shared" si="25"/>
        <v>2682.1740000000004</v>
      </c>
      <c r="M38" s="29">
        <f t="shared" si="25"/>
        <v>2729.2376000000004</v>
      </c>
      <c r="N38" s="30">
        <f t="shared" si="25"/>
        <v>2751.963240000001</v>
      </c>
    </row>
    <row r="39" spans="2:14">
      <c r="B39" s="33" t="s">
        <v>34</v>
      </c>
      <c r="C39" s="29">
        <f>'Balance Sheet'!C44</f>
        <v>812</v>
      </c>
      <c r="D39" s="29">
        <f>'Balance Sheet'!D44</f>
        <v>940</v>
      </c>
      <c r="E39" s="29">
        <f>'Balance Sheet'!E44</f>
        <v>52</v>
      </c>
      <c r="F39" s="29">
        <f>'Balance Sheet'!F44</f>
        <v>45</v>
      </c>
      <c r="G39" s="29">
        <f>'Balance Sheet'!G44</f>
        <v>84</v>
      </c>
      <c r="H39" s="29">
        <f>'Balance Sheet'!H44</f>
        <v>87</v>
      </c>
      <c r="I39" s="30">
        <f>'Balance Sheet'!I44</f>
        <v>145</v>
      </c>
      <c r="J39" s="29">
        <f t="shared" ref="J39:N39" si="26">I39*40%+H39*30%+G39*10%+F39*10%+E39*10%</f>
        <v>102.2</v>
      </c>
      <c r="K39" s="29">
        <f t="shared" si="26"/>
        <v>105.98</v>
      </c>
      <c r="L39" s="29">
        <f t="shared" si="26"/>
        <v>104.65200000000002</v>
      </c>
      <c r="M39" s="29">
        <f t="shared" si="26"/>
        <v>107.07480000000001</v>
      </c>
      <c r="N39" s="30">
        <f t="shared" si="26"/>
        <v>109.54352000000002</v>
      </c>
    </row>
    <row r="40" spans="2:14" ht="15" thickBot="1">
      <c r="B40" s="56" t="s">
        <v>35</v>
      </c>
      <c r="C40" s="24">
        <f>'Balance Sheet'!C45</f>
        <v>123</v>
      </c>
      <c r="D40" s="24">
        <f>'Balance Sheet'!D45</f>
        <v>0</v>
      </c>
      <c r="E40" s="24">
        <f>'Balance Sheet'!E45</f>
        <v>658</v>
      </c>
      <c r="F40" s="24">
        <f>'Balance Sheet'!F45</f>
        <v>445</v>
      </c>
      <c r="G40" s="24">
        <f>'Balance Sheet'!G45</f>
        <v>0</v>
      </c>
      <c r="H40" s="24">
        <f>'Balance Sheet'!H45</f>
        <v>321</v>
      </c>
      <c r="I40" s="57">
        <f>'Balance Sheet'!I45</f>
        <v>389</v>
      </c>
      <c r="J40" s="24">
        <f t="shared" ref="J40:N40" si="27">I40*40%+H40*30%+G40*10%+F40*10%+E40*10%</f>
        <v>362.20000000000005</v>
      </c>
      <c r="K40" s="24">
        <f t="shared" si="27"/>
        <v>338.18000000000006</v>
      </c>
      <c r="L40" s="24">
        <f t="shared" si="27"/>
        <v>314.93200000000002</v>
      </c>
      <c r="M40" s="24">
        <f t="shared" si="27"/>
        <v>334.6468000000001</v>
      </c>
      <c r="N40" s="57">
        <f t="shared" si="27"/>
        <v>337.27632000000006</v>
      </c>
    </row>
    <row r="44" spans="2:14">
      <c r="I44" s="2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079F-0F86-4992-AD3D-A07448BA89E2}">
  <dimension ref="A1:N926"/>
  <sheetViews>
    <sheetView showGridLines="0" topLeftCell="F1" zoomScaleNormal="100" workbookViewId="0">
      <selection activeCell="I4" sqref="I4"/>
    </sheetView>
  </sheetViews>
  <sheetFormatPr defaultRowHeight="14.5"/>
  <cols>
    <col min="1" max="1" width="10.36328125" bestFit="1" customWidth="1"/>
    <col min="2" max="2" width="14.08984375" bestFit="1" customWidth="1"/>
    <col min="3" max="3" width="14.08984375" customWidth="1"/>
    <col min="5" max="5" width="15.1796875" style="151" bestFit="1" customWidth="1"/>
    <col min="6" max="6" width="8.90625" style="151"/>
    <col min="8" max="8" width="21" bestFit="1" customWidth="1"/>
    <col min="9" max="9" width="20.1796875" bestFit="1" customWidth="1"/>
    <col min="10" max="10" width="31.6328125" bestFit="1" customWidth="1"/>
    <col min="11" max="11" width="65.54296875" customWidth="1"/>
    <col min="12" max="12" width="7.36328125" customWidth="1"/>
    <col min="14" max="14" width="8.54296875" hidden="1" customWidth="1"/>
    <col min="17" max="17" width="35.81640625" customWidth="1"/>
  </cols>
  <sheetData>
    <row r="1" spans="1:14" ht="15" thickBot="1">
      <c r="B1" s="25" t="s">
        <v>314</v>
      </c>
      <c r="C1" s="25" t="s">
        <v>313</v>
      </c>
      <c r="E1" s="25" t="s">
        <v>315</v>
      </c>
      <c r="F1" s="25" t="s">
        <v>316</v>
      </c>
      <c r="N1" s="25" t="s">
        <v>156</v>
      </c>
    </row>
    <row r="2" spans="1:14">
      <c r="A2" s="394">
        <v>45687</v>
      </c>
      <c r="B2" s="393">
        <v>12000</v>
      </c>
      <c r="C2" s="393">
        <f t="shared" ref="C2:C34" si="0">N2*2</f>
        <v>23292.300781999998</v>
      </c>
      <c r="K2" s="423" t="s">
        <v>337</v>
      </c>
      <c r="L2" s="424">
        <v>12310.65</v>
      </c>
      <c r="N2" s="76">
        <v>11646.150390999999</v>
      </c>
    </row>
    <row r="3" spans="1:14" ht="15" thickBot="1">
      <c r="A3" s="394">
        <v>45686</v>
      </c>
      <c r="B3" s="393">
        <v>11977.9</v>
      </c>
      <c r="C3" s="393">
        <f t="shared" si="0"/>
        <v>23280.400389999999</v>
      </c>
      <c r="E3" s="151">
        <f>B3/B2-1</f>
        <v>-1.8416666666667414E-3</v>
      </c>
      <c r="F3" s="151">
        <f>C3/C2-1</f>
        <v>-5.1091526386248809E-4</v>
      </c>
      <c r="H3" s="25"/>
      <c r="K3" s="425" t="s">
        <v>338</v>
      </c>
      <c r="L3" s="426">
        <v>31.44</v>
      </c>
      <c r="N3" s="76">
        <v>11640.200194999999</v>
      </c>
    </row>
    <row r="4" spans="1:14">
      <c r="A4" s="394">
        <v>45685</v>
      </c>
      <c r="B4" s="393">
        <v>12123.75</v>
      </c>
      <c r="C4" s="393">
        <f t="shared" si="0"/>
        <v>22734.5</v>
      </c>
      <c r="E4" s="151">
        <f t="shared" ref="E4:E67" si="1">B4/B3-1</f>
        <v>1.2176591890064259E-2</v>
      </c>
      <c r="F4" s="151">
        <f t="shared" ref="F4:F67" si="2">C4/C3-1</f>
        <v>-2.3448926172012441E-2</v>
      </c>
      <c r="H4" s="25"/>
      <c r="I4" s="168"/>
      <c r="N4" s="76">
        <v>11367.25</v>
      </c>
    </row>
    <row r="5" spans="1:14">
      <c r="A5" s="394">
        <v>45684</v>
      </c>
      <c r="B5" s="393">
        <v>11993.85</v>
      </c>
      <c r="C5" s="393">
        <f t="shared" si="0"/>
        <v>22529.099610000001</v>
      </c>
      <c r="E5" s="151">
        <f t="shared" si="1"/>
        <v>-1.0714506650170041E-2</v>
      </c>
      <c r="F5" s="151">
        <f t="shared" si="2"/>
        <v>-9.0347441113725058E-3</v>
      </c>
      <c r="I5" s="285">
        <f>SLOPE(E3:E926,F3:F926)</f>
        <v>6.0484147644550529E-4</v>
      </c>
      <c r="N5" s="76">
        <v>11264.549805000001</v>
      </c>
    </row>
    <row r="6" spans="1:14" ht="15" thickBot="1">
      <c r="A6" s="394">
        <v>45681</v>
      </c>
      <c r="B6" s="393">
        <v>11967.9</v>
      </c>
      <c r="C6" s="393">
        <f t="shared" si="0"/>
        <v>22483.199218000002</v>
      </c>
      <c r="E6" s="151">
        <f t="shared" si="1"/>
        <v>-2.163608849535481E-3</v>
      </c>
      <c r="F6" s="151">
        <f t="shared" si="2"/>
        <v>-2.0373824429106291E-3</v>
      </c>
      <c r="I6" s="169"/>
      <c r="N6" s="76">
        <v>11241.599609000001</v>
      </c>
    </row>
    <row r="7" spans="1:14" ht="15" thickBot="1">
      <c r="A7" s="394">
        <v>45680</v>
      </c>
      <c r="B7" s="393">
        <v>12045.75</v>
      </c>
      <c r="C7" s="393">
        <f t="shared" si="0"/>
        <v>21844.5</v>
      </c>
      <c r="E7" s="151">
        <f t="shared" si="1"/>
        <v>6.5049006091295603E-3</v>
      </c>
      <c r="F7" s="151">
        <f t="shared" si="2"/>
        <v>-2.8407844088694456E-2</v>
      </c>
      <c r="H7" s="432" t="s">
        <v>158</v>
      </c>
      <c r="I7" s="433"/>
      <c r="N7" s="76">
        <v>10922.25</v>
      </c>
    </row>
    <row r="8" spans="1:14">
      <c r="A8" s="394">
        <v>45679</v>
      </c>
      <c r="B8" s="393">
        <v>12020.35</v>
      </c>
      <c r="C8" s="393">
        <f t="shared" si="0"/>
        <v>22352.599610000001</v>
      </c>
      <c r="E8" s="151">
        <f t="shared" si="1"/>
        <v>-2.1086275242304664E-3</v>
      </c>
      <c r="F8" s="151">
        <f t="shared" si="2"/>
        <v>2.3259841607727427E-2</v>
      </c>
      <c r="H8" s="406" t="s">
        <v>159</v>
      </c>
      <c r="I8" s="395">
        <f>_xlfn.COVARIANCE.S(E3:E251,F3:F251)/_xlfn.VAR.S(F3:F251)</f>
        <v>6.0484147644550518E-4</v>
      </c>
      <c r="N8" s="76">
        <v>11176.299805000001</v>
      </c>
    </row>
    <row r="9" spans="1:14" ht="15" thickBot="1">
      <c r="A9" s="394">
        <v>45678</v>
      </c>
      <c r="B9" s="393">
        <v>11883.7</v>
      </c>
      <c r="C9" s="393">
        <f t="shared" si="0"/>
        <v>22730.5</v>
      </c>
      <c r="E9" s="151">
        <f t="shared" si="1"/>
        <v>-1.1368221391224065E-2</v>
      </c>
      <c r="F9" s="151">
        <f t="shared" si="2"/>
        <v>1.6906328417878314E-2</v>
      </c>
      <c r="H9" s="407" t="s">
        <v>160</v>
      </c>
      <c r="I9" s="396">
        <v>6.9099999999999995E-2</v>
      </c>
      <c r="N9" s="76">
        <v>11365.25</v>
      </c>
    </row>
    <row r="10" spans="1:14" ht="15" thickBot="1">
      <c r="A10" s="394">
        <v>45677</v>
      </c>
      <c r="B10" s="393">
        <v>12020.05</v>
      </c>
      <c r="C10" s="393">
        <f t="shared" si="0"/>
        <v>22707.300781999998</v>
      </c>
      <c r="E10" s="151">
        <f t="shared" si="1"/>
        <v>1.1473699268746085E-2</v>
      </c>
      <c r="F10" s="151">
        <f t="shared" si="2"/>
        <v>-1.0206206638657678E-3</v>
      </c>
      <c r="H10" s="407" t="s">
        <v>161</v>
      </c>
      <c r="I10" s="397">
        <v>7.8100000000000003E-2</v>
      </c>
      <c r="K10" s="432" t="s">
        <v>162</v>
      </c>
      <c r="L10" s="434"/>
      <c r="M10" s="433"/>
      <c r="N10" s="76">
        <v>11353.650390999999</v>
      </c>
    </row>
    <row r="11" spans="1:14">
      <c r="A11" s="394">
        <v>45674</v>
      </c>
      <c r="B11" s="393">
        <v>12136.35</v>
      </c>
      <c r="C11" s="393">
        <f t="shared" si="0"/>
        <v>22770.400389999999</v>
      </c>
      <c r="E11" s="151">
        <f t="shared" si="1"/>
        <v>9.6755005178847941E-3</v>
      </c>
      <c r="F11" s="151">
        <f t="shared" si="2"/>
        <v>2.7788246875215528E-3</v>
      </c>
      <c r="H11" s="407"/>
      <c r="I11" s="398"/>
      <c r="K11" s="343" t="s">
        <v>163</v>
      </c>
      <c r="L11" s="418">
        <v>3.6999999999999998E-2</v>
      </c>
      <c r="M11" s="398">
        <v>0.4</v>
      </c>
      <c r="N11" s="76">
        <v>11385.200194999999</v>
      </c>
    </row>
    <row r="12" spans="1:14">
      <c r="A12" s="394">
        <v>45673</v>
      </c>
      <c r="B12" s="393">
        <v>12092.3</v>
      </c>
      <c r="C12" s="393">
        <f t="shared" si="0"/>
        <v>23091.800781999998</v>
      </c>
      <c r="E12" s="151">
        <f t="shared" si="1"/>
        <v>-3.629592093174705E-3</v>
      </c>
      <c r="F12" s="151">
        <f t="shared" si="2"/>
        <v>1.4114832699259283E-2</v>
      </c>
      <c r="H12" s="407" t="s">
        <v>164</v>
      </c>
      <c r="I12" s="399">
        <f>I9+(I8*I10)</f>
        <v>6.9147238119310395E-2</v>
      </c>
      <c r="K12" s="343" t="s">
        <v>317</v>
      </c>
      <c r="L12" s="419">
        <v>3.5000000000000003E-2</v>
      </c>
      <c r="M12" s="398">
        <v>0.3</v>
      </c>
      <c r="N12" s="76">
        <v>11545.900390999999</v>
      </c>
    </row>
    <row r="13" spans="1:14">
      <c r="A13" s="394">
        <v>45672</v>
      </c>
      <c r="B13" s="393">
        <v>11947.4</v>
      </c>
      <c r="C13" s="393">
        <f t="shared" si="0"/>
        <v>23251.199218000002</v>
      </c>
      <c r="E13" s="151">
        <f t="shared" si="1"/>
        <v>-1.1982832050147607E-2</v>
      </c>
      <c r="F13" s="151">
        <f t="shared" si="2"/>
        <v>6.9028153111494461E-3</v>
      </c>
      <c r="H13" s="343"/>
      <c r="I13" s="400"/>
      <c r="K13" s="343" t="s">
        <v>165</v>
      </c>
      <c r="L13" s="419">
        <v>6.8000000000000005E-2</v>
      </c>
      <c r="M13" s="398">
        <v>0.2</v>
      </c>
      <c r="N13" s="76">
        <v>11625.599609000001</v>
      </c>
    </row>
    <row r="14" spans="1:14" ht="15" thickBot="1">
      <c r="A14" s="394">
        <v>45671</v>
      </c>
      <c r="B14" s="393">
        <v>11741.15</v>
      </c>
      <c r="C14" s="393">
        <f t="shared" si="0"/>
        <v>23541.5</v>
      </c>
      <c r="E14" s="151">
        <f t="shared" si="1"/>
        <v>-1.7263170229505964E-2</v>
      </c>
      <c r="F14" s="151">
        <f t="shared" si="2"/>
        <v>1.2485411151406778E-2</v>
      </c>
      <c r="H14" s="408" t="s">
        <v>166</v>
      </c>
      <c r="I14" s="300">
        <f>L2*L3</f>
        <v>387046.83600000001</v>
      </c>
      <c r="K14" s="420" t="s">
        <v>318</v>
      </c>
      <c r="L14" s="421">
        <v>6.7699999999999996E-2</v>
      </c>
      <c r="M14" s="422">
        <v>0.1</v>
      </c>
      <c r="N14" s="76">
        <v>11770.75</v>
      </c>
    </row>
    <row r="15" spans="1:14" ht="15" thickBot="1">
      <c r="A15" s="394">
        <v>45670</v>
      </c>
      <c r="B15" s="393">
        <v>11497.7</v>
      </c>
      <c r="C15" s="393">
        <f t="shared" si="0"/>
        <v>23667.800781999998</v>
      </c>
      <c r="E15" s="151">
        <f t="shared" si="1"/>
        <v>-2.0734766185594999E-2</v>
      </c>
      <c r="F15" s="151">
        <f t="shared" si="2"/>
        <v>5.3650269524030403E-3</v>
      </c>
      <c r="H15" s="408" t="s">
        <v>167</v>
      </c>
      <c r="I15" s="300">
        <f>Schedules_Populated!J44+Schedules_Populated!J48</f>
        <v>123.9</v>
      </c>
      <c r="K15" s="435" t="s">
        <v>168</v>
      </c>
      <c r="L15" s="436"/>
      <c r="M15" s="412">
        <v>5.3800000000000001E-2</v>
      </c>
      <c r="N15" s="76">
        <v>11833.900390999999</v>
      </c>
    </row>
    <row r="16" spans="1:14">
      <c r="A16" s="394">
        <v>45667</v>
      </c>
      <c r="B16" s="393">
        <v>11631.1</v>
      </c>
      <c r="C16" s="393">
        <f t="shared" si="0"/>
        <v>23850.800781999998</v>
      </c>
      <c r="E16" s="151">
        <f t="shared" si="1"/>
        <v>1.1602320464092708E-2</v>
      </c>
      <c r="F16" s="151">
        <f t="shared" si="2"/>
        <v>7.7320238447831091E-3</v>
      </c>
      <c r="H16" s="409" t="s">
        <v>169</v>
      </c>
      <c r="I16" s="401">
        <f>Schedules_Populated!J53/(Schedules_Populated!J44+Schedules_Populated!J48)</f>
        <v>1.6821802287501058</v>
      </c>
      <c r="L16" s="169"/>
      <c r="N16" s="76">
        <v>11925.400390999999</v>
      </c>
    </row>
    <row r="17" spans="1:14">
      <c r="A17" s="394">
        <v>45666</v>
      </c>
      <c r="B17" s="393">
        <v>11740.55</v>
      </c>
      <c r="C17" s="393">
        <f t="shared" si="0"/>
        <v>23981.400389999999</v>
      </c>
      <c r="E17" s="151">
        <f t="shared" si="1"/>
        <v>9.4101159821511349E-3</v>
      </c>
      <c r="F17" s="151">
        <f t="shared" si="2"/>
        <v>5.475690698760971E-3</v>
      </c>
      <c r="H17" s="409" t="str">
        <f>H12</f>
        <v>Cost Of Equity</v>
      </c>
      <c r="I17" s="402">
        <f>I12</f>
        <v>6.9147238119310395E-2</v>
      </c>
      <c r="N17" s="76">
        <v>11990.700194999999</v>
      </c>
    </row>
    <row r="18" spans="1:14">
      <c r="A18" s="394">
        <v>45665</v>
      </c>
      <c r="B18" s="393">
        <v>11822</v>
      </c>
      <c r="C18" s="393">
        <f t="shared" si="0"/>
        <v>23998.099610000001</v>
      </c>
      <c r="E18" s="151">
        <f t="shared" si="1"/>
        <v>6.9374944103981484E-3</v>
      </c>
      <c r="F18" s="151">
        <f t="shared" si="2"/>
        <v>6.9634048589439779E-4</v>
      </c>
      <c r="H18" s="409" t="s">
        <v>170</v>
      </c>
      <c r="I18" s="403">
        <f>I15/(I14+I15)</f>
        <v>3.2001385559263961E-4</v>
      </c>
      <c r="N18" s="76">
        <v>11999.049805000001</v>
      </c>
    </row>
    <row r="19" spans="1:14">
      <c r="A19" s="394">
        <v>45664</v>
      </c>
      <c r="B19" s="393">
        <v>11721.3</v>
      </c>
      <c r="C19" s="393">
        <f t="shared" si="0"/>
        <v>23991.400389999999</v>
      </c>
      <c r="E19" s="151">
        <f t="shared" si="1"/>
        <v>-8.5180172559635725E-3</v>
      </c>
      <c r="F19" s="151">
        <f t="shared" si="2"/>
        <v>-2.7915627107455432E-4</v>
      </c>
      <c r="H19" s="409" t="s">
        <v>171</v>
      </c>
      <c r="I19" s="403">
        <f>1-I18</f>
        <v>0.99967998614440734</v>
      </c>
      <c r="K19" s="25" t="s">
        <v>339</v>
      </c>
      <c r="N19" s="76">
        <v>11995.700194999999</v>
      </c>
    </row>
    <row r="20" spans="1:14" ht="15" thickBot="1">
      <c r="A20" s="394">
        <v>45663</v>
      </c>
      <c r="B20" s="393">
        <v>11755.65</v>
      </c>
      <c r="C20" s="393">
        <f>N20*2</f>
        <v>24078.099610000001</v>
      </c>
      <c r="E20" s="151">
        <f t="shared" si="1"/>
        <v>2.9305623096413935E-3</v>
      </c>
      <c r="F20" s="151">
        <f t="shared" si="2"/>
        <v>3.6137623727934276E-3</v>
      </c>
      <c r="H20" s="410" t="s">
        <v>172</v>
      </c>
      <c r="I20" s="404">
        <v>0.25169999999999998</v>
      </c>
      <c r="L20" s="150">
        <v>6.5000000000000002E-2</v>
      </c>
      <c r="N20" s="76">
        <v>12039.049805000001</v>
      </c>
    </row>
    <row r="21" spans="1:14" ht="15.5" thickTop="1" thickBot="1">
      <c r="A21" s="394">
        <v>45660</v>
      </c>
      <c r="B21" s="393">
        <v>11934.25</v>
      </c>
      <c r="C21" s="393">
        <f>N21*2</f>
        <v>23516.400389999999</v>
      </c>
      <c r="E21" s="151">
        <f t="shared" si="1"/>
        <v>1.5192694576650512E-2</v>
      </c>
      <c r="F21" s="151">
        <f t="shared" si="2"/>
        <v>-2.3328220627790719E-2</v>
      </c>
      <c r="H21" s="411" t="s">
        <v>158</v>
      </c>
      <c r="I21" s="405">
        <f>(I16*I18*(1-I20))+(I17*I19)</f>
        <v>6.9527935634971907E-2</v>
      </c>
      <c r="L21" s="149">
        <v>7.0000000000000007E-2</v>
      </c>
      <c r="N21" s="76">
        <v>11758.200194999999</v>
      </c>
    </row>
    <row r="22" spans="1:14">
      <c r="A22" s="394">
        <v>45659</v>
      </c>
      <c r="B22" s="393">
        <v>11841.3</v>
      </c>
      <c r="C22" s="393">
        <f t="shared" si="0"/>
        <v>23686.699218000002</v>
      </c>
      <c r="E22" s="151">
        <f t="shared" si="1"/>
        <v>-7.7885078660159257E-3</v>
      </c>
      <c r="F22" s="151">
        <f t="shared" si="2"/>
        <v>7.2417047326860384E-3</v>
      </c>
      <c r="N22" s="76">
        <v>11843.349609000001</v>
      </c>
    </row>
    <row r="23" spans="1:14">
      <c r="A23" s="394">
        <v>45658</v>
      </c>
      <c r="B23" s="393">
        <v>11208.3</v>
      </c>
      <c r="C23" s="393">
        <f t="shared" si="0"/>
        <v>23905.800781999998</v>
      </c>
      <c r="E23" s="151">
        <f t="shared" si="1"/>
        <v>-5.3456968407185057E-2</v>
      </c>
      <c r="F23" s="151">
        <f t="shared" si="2"/>
        <v>9.2499829538721379E-3</v>
      </c>
      <c r="H23" s="286"/>
      <c r="N23" s="76">
        <v>11952.900390999999</v>
      </c>
    </row>
    <row r="24" spans="1:14">
      <c r="A24" s="394">
        <v>45657</v>
      </c>
      <c r="B24" s="393">
        <v>10858.4</v>
      </c>
      <c r="C24" s="393">
        <f t="shared" si="0"/>
        <v>23953.699218000002</v>
      </c>
      <c r="E24" s="151">
        <f t="shared" si="1"/>
        <v>-3.121793670761841E-2</v>
      </c>
      <c r="F24" s="151">
        <f t="shared" si="2"/>
        <v>2.0036323583885185E-3</v>
      </c>
      <c r="H24" s="25"/>
      <c r="N24" s="76">
        <v>11976.849609000001</v>
      </c>
    </row>
    <row r="25" spans="1:14">
      <c r="A25" s="394">
        <v>45656</v>
      </c>
      <c r="B25" s="393">
        <v>10798.95</v>
      </c>
      <c r="C25" s="393">
        <f t="shared" si="0"/>
        <v>24018</v>
      </c>
      <c r="E25" s="151">
        <f t="shared" si="1"/>
        <v>-5.4750239445957583E-3</v>
      </c>
      <c r="F25" s="151">
        <f t="shared" si="2"/>
        <v>2.6843779499277076E-3</v>
      </c>
      <c r="N25" s="76">
        <v>12009</v>
      </c>
    </row>
    <row r="26" spans="1:14">
      <c r="A26" s="394">
        <v>45653</v>
      </c>
      <c r="B26" s="393">
        <v>10941.05</v>
      </c>
      <c r="C26" s="393">
        <f t="shared" si="0"/>
        <v>23943.599610000001</v>
      </c>
      <c r="E26" s="151">
        <f t="shared" si="1"/>
        <v>1.3158686724172197E-2</v>
      </c>
      <c r="F26" s="151">
        <f t="shared" si="2"/>
        <v>-3.0976929802647435E-3</v>
      </c>
      <c r="H26" s="25"/>
      <c r="N26" s="76">
        <v>11971.799805000001</v>
      </c>
    </row>
    <row r="27" spans="1:14">
      <c r="A27" s="394">
        <v>45652</v>
      </c>
      <c r="B27" s="393">
        <v>10896</v>
      </c>
      <c r="C27" s="393">
        <f t="shared" si="0"/>
        <v>24012.199218000002</v>
      </c>
      <c r="E27" s="151">
        <f t="shared" si="1"/>
        <v>-4.1175207132769787E-3</v>
      </c>
      <c r="F27" s="151">
        <f t="shared" si="2"/>
        <v>2.8650499138547225E-3</v>
      </c>
      <c r="H27" s="149"/>
      <c r="N27" s="76">
        <v>12006.099609000001</v>
      </c>
    </row>
    <row r="28" spans="1:14">
      <c r="A28" s="394">
        <v>45650</v>
      </c>
      <c r="B28" s="393">
        <v>10736.6</v>
      </c>
      <c r="C28" s="393">
        <f t="shared" si="0"/>
        <v>23685.400389999999</v>
      </c>
      <c r="E28" s="151">
        <f t="shared" si="1"/>
        <v>-1.4629221732745945E-2</v>
      </c>
      <c r="F28" s="151">
        <f t="shared" si="2"/>
        <v>-1.3609700012609749E-2</v>
      </c>
      <c r="N28" s="76">
        <v>11842.700194999999</v>
      </c>
    </row>
    <row r="29" spans="1:14">
      <c r="A29" s="394">
        <v>45649</v>
      </c>
      <c r="B29" s="393">
        <v>10822</v>
      </c>
      <c r="C29" s="393">
        <f t="shared" si="0"/>
        <v>23943.800781999998</v>
      </c>
      <c r="E29" s="151">
        <f t="shared" si="1"/>
        <v>7.9541009258050632E-3</v>
      </c>
      <c r="F29" s="151">
        <f t="shared" si="2"/>
        <v>1.0909690684777207E-2</v>
      </c>
      <c r="H29" s="25"/>
      <c r="I29" s="25"/>
      <c r="N29" s="76">
        <v>11971.900390999999</v>
      </c>
    </row>
    <row r="30" spans="1:14">
      <c r="A30" s="394">
        <v>45646</v>
      </c>
      <c r="B30" s="393">
        <v>10901.05</v>
      </c>
      <c r="C30" s="393">
        <f t="shared" si="0"/>
        <v>23638.099610000001</v>
      </c>
      <c r="E30" s="151">
        <f t="shared" si="1"/>
        <v>7.3045647754572673E-3</v>
      </c>
      <c r="F30" s="151">
        <f t="shared" si="2"/>
        <v>-1.2767445518917397E-2</v>
      </c>
      <c r="N30" s="76">
        <v>11819.049805000001</v>
      </c>
    </row>
    <row r="31" spans="1:14">
      <c r="A31" s="394">
        <v>45645</v>
      </c>
      <c r="B31" s="393">
        <v>10955.35</v>
      </c>
      <c r="C31" s="393">
        <f t="shared" si="0"/>
        <v>23548.800781999998</v>
      </c>
      <c r="E31" s="151">
        <f t="shared" si="1"/>
        <v>4.9811715385215116E-3</v>
      </c>
      <c r="F31" s="151">
        <f t="shared" si="2"/>
        <v>-3.7777498814762778E-3</v>
      </c>
      <c r="N31" s="76">
        <v>11774.400390999999</v>
      </c>
    </row>
    <row r="32" spans="1:14">
      <c r="A32" s="394">
        <v>45644</v>
      </c>
      <c r="B32" s="393">
        <v>11002.45</v>
      </c>
      <c r="C32" s="393">
        <f t="shared" si="0"/>
        <v>23497.900389999999</v>
      </c>
      <c r="E32" s="151">
        <f t="shared" si="1"/>
        <v>4.2992693067771537E-3</v>
      </c>
      <c r="F32" s="151">
        <f t="shared" si="2"/>
        <v>-2.1614855240911224E-3</v>
      </c>
      <c r="N32" s="76">
        <v>11748.950194999999</v>
      </c>
    </row>
    <row r="33" spans="1:14">
      <c r="A33" s="394">
        <v>45643</v>
      </c>
      <c r="B33" s="393">
        <v>11108.55</v>
      </c>
      <c r="C33" s="393">
        <f t="shared" si="0"/>
        <v>23555.699218000002</v>
      </c>
      <c r="E33" s="151">
        <f t="shared" si="1"/>
        <v>9.6433067180490273E-3</v>
      </c>
      <c r="F33" s="151">
        <f t="shared" si="2"/>
        <v>2.4597443618665782E-3</v>
      </c>
      <c r="N33" s="76">
        <v>11777.849609000001</v>
      </c>
    </row>
    <row r="34" spans="1:14">
      <c r="A34" s="394">
        <v>45642</v>
      </c>
      <c r="B34" s="393">
        <v>11277</v>
      </c>
      <c r="C34" s="393">
        <f t="shared" si="0"/>
        <v>23826.699218000002</v>
      </c>
      <c r="E34" s="151">
        <f t="shared" si="1"/>
        <v>1.5163995300916833E-2</v>
      </c>
      <c r="F34" s="151">
        <f t="shared" si="2"/>
        <v>1.1504646815702069E-2</v>
      </c>
      <c r="N34" s="76">
        <v>11913.349609000001</v>
      </c>
    </row>
    <row r="35" spans="1:14">
      <c r="A35" s="394">
        <v>45639</v>
      </c>
      <c r="B35" s="393">
        <v>11272.55</v>
      </c>
      <c r="C35" s="393">
        <f>N2*2</f>
        <v>23292.300781999998</v>
      </c>
      <c r="E35" s="151">
        <f t="shared" si="1"/>
        <v>-3.9460849516725904E-4</v>
      </c>
      <c r="F35" s="151">
        <f t="shared" si="2"/>
        <v>-2.2428555089002433E-2</v>
      </c>
      <c r="N35" s="76">
        <v>12007.099609000001</v>
      </c>
    </row>
    <row r="36" spans="1:14">
      <c r="A36" s="394">
        <v>45638</v>
      </c>
      <c r="B36" s="393">
        <v>11167.4</v>
      </c>
      <c r="C36" s="393">
        <f t="shared" ref="C36:C47" si="3">N3*2</f>
        <v>23280.400389999999</v>
      </c>
      <c r="E36" s="151">
        <f t="shared" si="1"/>
        <v>-9.3279692704845152E-3</v>
      </c>
      <c r="F36" s="151">
        <f t="shared" si="2"/>
        <v>-5.1091526386248809E-4</v>
      </c>
      <c r="N36" s="76">
        <v>12217.900390999999</v>
      </c>
    </row>
    <row r="37" spans="1:14">
      <c r="A37" s="394">
        <v>45637</v>
      </c>
      <c r="B37" s="393">
        <v>11277.75</v>
      </c>
      <c r="C37" s="393">
        <f t="shared" si="3"/>
        <v>22734.5</v>
      </c>
      <c r="E37" s="151">
        <f t="shared" si="1"/>
        <v>9.881440621809956E-3</v>
      </c>
      <c r="F37" s="151">
        <f t="shared" si="2"/>
        <v>-2.3448926172012441E-2</v>
      </c>
      <c r="N37" s="76">
        <v>12349.150390999999</v>
      </c>
    </row>
    <row r="38" spans="1:14">
      <c r="A38" s="394">
        <v>45636</v>
      </c>
      <c r="B38" s="393">
        <v>11198.2</v>
      </c>
      <c r="C38" s="393">
        <f t="shared" si="3"/>
        <v>22529.099610000001</v>
      </c>
      <c r="E38" s="151">
        <f t="shared" si="1"/>
        <v>-7.0537119549555216E-3</v>
      </c>
      <c r="F38" s="151">
        <f t="shared" si="2"/>
        <v>-9.0347441113725058E-3</v>
      </c>
      <c r="N38" s="76">
        <v>12545.450194999999</v>
      </c>
    </row>
    <row r="39" spans="1:14">
      <c r="A39" s="394">
        <v>45635</v>
      </c>
      <c r="B39" s="393">
        <v>11279.8</v>
      </c>
      <c r="C39" s="393">
        <f t="shared" si="3"/>
        <v>22483.199218000002</v>
      </c>
      <c r="E39" s="151">
        <f t="shared" si="1"/>
        <v>7.2868853922951615E-3</v>
      </c>
      <c r="F39" s="151">
        <f t="shared" si="2"/>
        <v>-2.0373824429106291E-3</v>
      </c>
      <c r="N39" s="76">
        <v>12683.349609000001</v>
      </c>
    </row>
    <row r="40" spans="1:14">
      <c r="A40" s="394">
        <v>45632</v>
      </c>
      <c r="B40" s="393">
        <v>11317.95</v>
      </c>
      <c r="C40" s="393">
        <f t="shared" si="3"/>
        <v>21844.5</v>
      </c>
      <c r="E40" s="151">
        <f t="shared" si="1"/>
        <v>3.3821521658186082E-3</v>
      </c>
      <c r="F40" s="151">
        <f t="shared" si="2"/>
        <v>-2.8407844088694456E-2</v>
      </c>
      <c r="N40" s="76">
        <v>12805.599609000001</v>
      </c>
    </row>
    <row r="41" spans="1:14">
      <c r="A41" s="394">
        <v>45631</v>
      </c>
      <c r="B41" s="393">
        <v>11182.25</v>
      </c>
      <c r="C41" s="393">
        <f t="shared" si="3"/>
        <v>22352.599610000001</v>
      </c>
      <c r="E41" s="151">
        <f t="shared" si="1"/>
        <v>-1.1989803807226584E-2</v>
      </c>
      <c r="F41" s="151">
        <f t="shared" si="2"/>
        <v>2.3259841607727427E-2</v>
      </c>
      <c r="N41" s="76">
        <v>12764.049805000001</v>
      </c>
    </row>
    <row r="42" spans="1:14">
      <c r="A42" s="394">
        <v>45630</v>
      </c>
      <c r="B42" s="393">
        <v>11129.85</v>
      </c>
      <c r="C42" s="393">
        <f t="shared" si="3"/>
        <v>22730.5</v>
      </c>
      <c r="E42" s="151">
        <f t="shared" si="1"/>
        <v>-4.6859978984551409E-3</v>
      </c>
      <c r="F42" s="151">
        <f t="shared" si="2"/>
        <v>1.6906328417878314E-2</v>
      </c>
      <c r="N42" s="76">
        <v>12804.25</v>
      </c>
    </row>
    <row r="43" spans="1:14">
      <c r="A43" s="394">
        <v>45629</v>
      </c>
      <c r="B43" s="393">
        <v>11279.25</v>
      </c>
      <c r="C43" s="393">
        <f t="shared" si="3"/>
        <v>22707.300781999998</v>
      </c>
      <c r="E43" s="151">
        <f t="shared" si="1"/>
        <v>1.342336150082879E-2</v>
      </c>
      <c r="F43" s="151">
        <f t="shared" si="2"/>
        <v>-1.0206206638657678E-3</v>
      </c>
      <c r="N43" s="76">
        <v>12804.25</v>
      </c>
    </row>
    <row r="44" spans="1:14">
      <c r="A44" s="394">
        <v>45628</v>
      </c>
      <c r="B44" s="393">
        <v>11239.3</v>
      </c>
      <c r="C44" s="393">
        <f t="shared" si="3"/>
        <v>22770.400389999999</v>
      </c>
      <c r="E44" s="151">
        <f t="shared" si="1"/>
        <v>-3.5419021654808924E-3</v>
      </c>
      <c r="F44" s="151">
        <f t="shared" si="2"/>
        <v>2.7788246875215528E-3</v>
      </c>
      <c r="N44" s="76">
        <v>12960.900390999999</v>
      </c>
    </row>
    <row r="45" spans="1:14">
      <c r="A45" s="394">
        <v>45625</v>
      </c>
      <c r="B45" s="393">
        <v>11074.2</v>
      </c>
      <c r="C45" s="393">
        <f t="shared" si="3"/>
        <v>23091.800781999998</v>
      </c>
      <c r="E45" s="151">
        <f t="shared" si="1"/>
        <v>-1.468952692783343E-2</v>
      </c>
      <c r="F45" s="151">
        <f t="shared" si="2"/>
        <v>1.4114832699259283E-2</v>
      </c>
      <c r="N45" s="76">
        <v>13022.75</v>
      </c>
    </row>
    <row r="46" spans="1:14">
      <c r="A46" s="394">
        <v>45624</v>
      </c>
      <c r="B46" s="393">
        <v>10949.85</v>
      </c>
      <c r="C46" s="393">
        <f t="shared" si="3"/>
        <v>23251.199218000002</v>
      </c>
      <c r="E46" s="151">
        <f t="shared" si="1"/>
        <v>-1.1228802080511469E-2</v>
      </c>
      <c r="F46" s="151">
        <f t="shared" si="2"/>
        <v>6.9028153111494461E-3</v>
      </c>
      <c r="N46" s="76">
        <v>12864.849609000001</v>
      </c>
    </row>
    <row r="47" spans="1:14">
      <c r="A47" s="394">
        <v>45623</v>
      </c>
      <c r="B47" s="393">
        <v>11058.35</v>
      </c>
      <c r="C47" s="393">
        <f t="shared" si="3"/>
        <v>23541.5</v>
      </c>
      <c r="E47" s="151">
        <f t="shared" si="1"/>
        <v>9.9088115362311324E-3</v>
      </c>
      <c r="F47" s="151">
        <f t="shared" si="2"/>
        <v>1.2485411151406778E-2</v>
      </c>
      <c r="N47" s="76">
        <v>12962.450194999999</v>
      </c>
    </row>
    <row r="48" spans="1:14">
      <c r="A48" s="394">
        <v>45622</v>
      </c>
      <c r="B48" s="393">
        <v>10943.95</v>
      </c>
      <c r="C48" s="393">
        <f t="shared" ref="C48:C80" si="4">N2*2</f>
        <v>23292.300781999998</v>
      </c>
      <c r="E48" s="151">
        <f t="shared" si="1"/>
        <v>-1.0345123820461377E-2</v>
      </c>
      <c r="F48" s="151">
        <f t="shared" si="2"/>
        <v>-1.0585528449759019E-2</v>
      </c>
      <c r="N48" s="76">
        <v>13036.650390999999</v>
      </c>
    </row>
    <row r="49" spans="1:14">
      <c r="A49" s="394">
        <v>45621</v>
      </c>
      <c r="B49" s="393">
        <v>11025.15</v>
      </c>
      <c r="C49" s="393">
        <f t="shared" si="4"/>
        <v>23280.400389999999</v>
      </c>
      <c r="E49" s="151">
        <f t="shared" si="1"/>
        <v>7.4196245414130946E-3</v>
      </c>
      <c r="F49" s="151">
        <f t="shared" si="2"/>
        <v>-5.1091526386248809E-4</v>
      </c>
      <c r="N49" s="76">
        <v>13158.299805000001</v>
      </c>
    </row>
    <row r="50" spans="1:14">
      <c r="A50" s="394">
        <v>45618</v>
      </c>
      <c r="B50" s="393">
        <v>11063.6</v>
      </c>
      <c r="C50" s="393">
        <f t="shared" si="4"/>
        <v>22734.5</v>
      </c>
      <c r="E50" s="151">
        <f t="shared" si="1"/>
        <v>3.4874808959515224E-3</v>
      </c>
      <c r="F50" s="151">
        <f t="shared" si="2"/>
        <v>-2.3448926172012441E-2</v>
      </c>
      <c r="N50" s="76">
        <v>12959.799805000001</v>
      </c>
    </row>
    <row r="51" spans="1:14">
      <c r="A51" s="394">
        <v>45617</v>
      </c>
      <c r="B51" s="393">
        <v>10861.45</v>
      </c>
      <c r="C51" s="393">
        <f t="shared" si="4"/>
        <v>22529.099610000001</v>
      </c>
      <c r="E51" s="151">
        <f t="shared" si="1"/>
        <v>-1.8271629487689345E-2</v>
      </c>
      <c r="F51" s="151">
        <f t="shared" si="2"/>
        <v>-9.0347441113725058E-3</v>
      </c>
      <c r="N51" s="76">
        <v>13087.75</v>
      </c>
    </row>
    <row r="52" spans="1:14">
      <c r="A52" s="394">
        <v>45615</v>
      </c>
      <c r="B52" s="393">
        <v>10959.3</v>
      </c>
      <c r="C52" s="393">
        <f t="shared" si="4"/>
        <v>22483.199218000002</v>
      </c>
      <c r="E52" s="151">
        <f t="shared" si="1"/>
        <v>9.0089260641994517E-3</v>
      </c>
      <c r="F52" s="151">
        <f t="shared" si="2"/>
        <v>-2.0373824429106291E-3</v>
      </c>
      <c r="N52" s="76">
        <v>13080.299805000001</v>
      </c>
    </row>
    <row r="53" spans="1:14">
      <c r="A53" s="394">
        <v>45614</v>
      </c>
      <c r="B53" s="393">
        <v>11093.95</v>
      </c>
      <c r="C53" s="393">
        <f t="shared" si="4"/>
        <v>21844.5</v>
      </c>
      <c r="E53" s="151">
        <f t="shared" si="1"/>
        <v>1.2286368654932378E-2</v>
      </c>
      <c r="F53" s="151">
        <f t="shared" si="2"/>
        <v>-2.8407844088694456E-2</v>
      </c>
      <c r="N53" s="76">
        <v>13225.700194999999</v>
      </c>
    </row>
    <row r="54" spans="1:14">
      <c r="A54" s="394">
        <v>45610</v>
      </c>
      <c r="B54" s="393">
        <v>11006.05</v>
      </c>
      <c r="C54" s="393">
        <f t="shared" si="4"/>
        <v>22352.599610000001</v>
      </c>
      <c r="E54" s="151">
        <f t="shared" si="1"/>
        <v>-7.9232374402266048E-3</v>
      </c>
      <c r="F54" s="151">
        <f t="shared" si="2"/>
        <v>2.3259841607727427E-2</v>
      </c>
      <c r="N54" s="76">
        <v>13244.349609000001</v>
      </c>
    </row>
    <row r="55" spans="1:14">
      <c r="A55" s="394">
        <v>45609</v>
      </c>
      <c r="B55" s="393">
        <v>11049.6</v>
      </c>
      <c r="C55" s="393">
        <f t="shared" si="4"/>
        <v>22730.5</v>
      </c>
      <c r="E55" s="151">
        <f t="shared" si="1"/>
        <v>3.9569146060576266E-3</v>
      </c>
      <c r="F55" s="151">
        <f t="shared" si="2"/>
        <v>1.6906328417878314E-2</v>
      </c>
      <c r="N55" s="76">
        <v>13280.5</v>
      </c>
    </row>
    <row r="56" spans="1:14">
      <c r="A56" s="394">
        <v>45608</v>
      </c>
      <c r="B56" s="393">
        <v>11143.1</v>
      </c>
      <c r="C56" s="393">
        <f t="shared" si="4"/>
        <v>22707.300781999998</v>
      </c>
      <c r="E56" s="151">
        <f t="shared" si="1"/>
        <v>8.461844772661431E-3</v>
      </c>
      <c r="F56" s="151">
        <f t="shared" si="2"/>
        <v>-1.0206206638657678E-3</v>
      </c>
      <c r="N56" s="76">
        <v>13396.5</v>
      </c>
    </row>
    <row r="57" spans="1:14">
      <c r="A57" s="394">
        <v>45607</v>
      </c>
      <c r="B57" s="393">
        <v>11399.7</v>
      </c>
      <c r="C57" s="393">
        <f t="shared" si="4"/>
        <v>22770.400389999999</v>
      </c>
      <c r="E57" s="151">
        <f t="shared" si="1"/>
        <v>2.302770324236536E-2</v>
      </c>
      <c r="F57" s="151">
        <f t="shared" si="2"/>
        <v>2.7788246875215528E-3</v>
      </c>
      <c r="N57" s="76">
        <v>13497.849609000001</v>
      </c>
    </row>
    <row r="58" spans="1:14">
      <c r="A58" s="394">
        <v>45604</v>
      </c>
      <c r="B58" s="393">
        <v>11303</v>
      </c>
      <c r="C58" s="393">
        <f t="shared" si="4"/>
        <v>23091.800781999998</v>
      </c>
      <c r="E58" s="151">
        <f t="shared" si="1"/>
        <v>-8.4826793687553526E-3</v>
      </c>
      <c r="F58" s="151">
        <f t="shared" si="2"/>
        <v>1.4114832699259283E-2</v>
      </c>
      <c r="N58" s="76">
        <v>13529.849609000001</v>
      </c>
    </row>
    <row r="59" spans="1:14">
      <c r="A59" s="394">
        <v>45603</v>
      </c>
      <c r="B59" s="393">
        <v>11300.15</v>
      </c>
      <c r="C59" s="393">
        <f t="shared" si="4"/>
        <v>23251.199218000002</v>
      </c>
      <c r="E59" s="151">
        <f t="shared" si="1"/>
        <v>-2.521454481111407E-4</v>
      </c>
      <c r="F59" s="151">
        <f t="shared" si="2"/>
        <v>6.9028153111494461E-3</v>
      </c>
      <c r="N59" s="76">
        <v>13649.599609000001</v>
      </c>
    </row>
    <row r="60" spans="1:14">
      <c r="A60" s="394">
        <v>45602</v>
      </c>
      <c r="B60" s="393">
        <v>11354.25</v>
      </c>
      <c r="C60" s="393">
        <f t="shared" si="4"/>
        <v>23541.5</v>
      </c>
      <c r="E60" s="151">
        <f t="shared" si="1"/>
        <v>4.7875470679592524E-3</v>
      </c>
      <c r="F60" s="151">
        <f t="shared" si="2"/>
        <v>1.2485411151406778E-2</v>
      </c>
      <c r="N60" s="76">
        <v>13612.349609000001</v>
      </c>
    </row>
    <row r="61" spans="1:14">
      <c r="A61" s="394">
        <v>45601</v>
      </c>
      <c r="B61" s="393">
        <v>11170.1</v>
      </c>
      <c r="C61" s="393">
        <f t="shared" si="4"/>
        <v>23667.800781999998</v>
      </c>
      <c r="E61" s="151">
        <f t="shared" si="1"/>
        <v>-1.6218596560759191E-2</v>
      </c>
      <c r="F61" s="151">
        <f t="shared" si="2"/>
        <v>5.3650269524030403E-3</v>
      </c>
      <c r="N61" s="76">
        <v>13647.900390999999</v>
      </c>
    </row>
    <row r="62" spans="1:14">
      <c r="A62" s="394">
        <v>45600</v>
      </c>
      <c r="B62" s="393">
        <v>11052.45</v>
      </c>
      <c r="C62" s="393">
        <f t="shared" si="4"/>
        <v>23850.800781999998</v>
      </c>
      <c r="E62" s="151">
        <f t="shared" si="1"/>
        <v>-1.0532582519404476E-2</v>
      </c>
      <c r="F62" s="151">
        <f t="shared" si="2"/>
        <v>7.7320238447831091E-3</v>
      </c>
      <c r="N62" s="76">
        <v>13693.200194999999</v>
      </c>
    </row>
    <row r="63" spans="1:14">
      <c r="A63" s="394">
        <v>45597</v>
      </c>
      <c r="B63" s="393">
        <v>11110</v>
      </c>
      <c r="C63" s="393">
        <f t="shared" si="4"/>
        <v>23981.400389999999</v>
      </c>
      <c r="E63" s="151">
        <f t="shared" si="1"/>
        <v>5.2069903053169053E-3</v>
      </c>
      <c r="F63" s="151">
        <f t="shared" si="2"/>
        <v>5.475690698760971E-3</v>
      </c>
      <c r="N63" s="76">
        <v>13697.700194999999</v>
      </c>
    </row>
    <row r="64" spans="1:14">
      <c r="A64" s="394">
        <v>45596</v>
      </c>
      <c r="B64" s="393">
        <v>11076.45</v>
      </c>
      <c r="C64" s="393">
        <f t="shared" si="4"/>
        <v>23998.099610000001</v>
      </c>
      <c r="E64" s="151">
        <f t="shared" si="1"/>
        <v>-3.0198019801979115E-3</v>
      </c>
      <c r="F64" s="151">
        <f t="shared" si="2"/>
        <v>6.9634048589439779E-4</v>
      </c>
      <c r="N64" s="76">
        <v>13808.049805000001</v>
      </c>
    </row>
    <row r="65" spans="1:14">
      <c r="A65" s="394">
        <v>45595</v>
      </c>
      <c r="B65" s="393">
        <v>11256.45</v>
      </c>
      <c r="C65" s="393">
        <f t="shared" si="4"/>
        <v>23991.400389999999</v>
      </c>
      <c r="E65" s="151">
        <f t="shared" si="1"/>
        <v>1.6250694040057967E-2</v>
      </c>
      <c r="F65" s="151">
        <f t="shared" si="2"/>
        <v>-2.7915627107455432E-4</v>
      </c>
      <c r="N65" s="76">
        <v>13852.549805000001</v>
      </c>
    </row>
    <row r="66" spans="1:14">
      <c r="A66" s="394">
        <v>45594</v>
      </c>
      <c r="B66" s="393">
        <v>11046</v>
      </c>
      <c r="C66" s="393">
        <f>N20*2</f>
        <v>24078.099610000001</v>
      </c>
      <c r="E66" s="151">
        <f t="shared" si="1"/>
        <v>-1.8695947656676926E-2</v>
      </c>
      <c r="F66" s="151">
        <f t="shared" si="2"/>
        <v>3.6137623727934276E-3</v>
      </c>
      <c r="N66" s="76">
        <v>13872.799805000001</v>
      </c>
    </row>
    <row r="67" spans="1:14">
      <c r="A67" s="394">
        <v>45593</v>
      </c>
      <c r="B67" s="393">
        <v>11483.25</v>
      </c>
      <c r="C67" s="393">
        <f>N21*2</f>
        <v>23516.400389999999</v>
      </c>
      <c r="E67" s="151">
        <f t="shared" si="1"/>
        <v>3.9584464964693034E-2</v>
      </c>
      <c r="F67" s="151">
        <f t="shared" si="2"/>
        <v>-2.3328220627790719E-2</v>
      </c>
      <c r="N67" s="76">
        <v>13431.299805000001</v>
      </c>
    </row>
    <row r="68" spans="1:14">
      <c r="A68" s="394">
        <v>45590</v>
      </c>
      <c r="B68" s="393">
        <v>11502.85</v>
      </c>
      <c r="C68" s="393">
        <f t="shared" si="4"/>
        <v>23686.699218000002</v>
      </c>
      <c r="E68" s="151">
        <f t="shared" ref="E68:E131" si="5">B68/B67-1</f>
        <v>1.7068338667189931E-3</v>
      </c>
      <c r="F68" s="151">
        <f t="shared" ref="F68:F131" si="6">C68/C67-1</f>
        <v>7.2417047326860384E-3</v>
      </c>
      <c r="N68" s="76">
        <v>13577.349609000001</v>
      </c>
    </row>
    <row r="69" spans="1:14">
      <c r="A69" s="394">
        <v>45589</v>
      </c>
      <c r="B69" s="393">
        <v>11763.7</v>
      </c>
      <c r="C69" s="393">
        <f t="shared" si="4"/>
        <v>23905.800781999998</v>
      </c>
      <c r="E69" s="151">
        <f t="shared" si="5"/>
        <v>2.2676988746267224E-2</v>
      </c>
      <c r="F69" s="151">
        <f t="shared" si="6"/>
        <v>9.2499829538721379E-3</v>
      </c>
      <c r="N69" s="76">
        <v>13725.549805000001</v>
      </c>
    </row>
    <row r="70" spans="1:14">
      <c r="A70" s="394">
        <v>45588</v>
      </c>
      <c r="B70" s="393">
        <v>11956.2</v>
      </c>
      <c r="C70" s="393">
        <f t="shared" si="4"/>
        <v>23953.699218000002</v>
      </c>
      <c r="E70" s="151">
        <f t="shared" si="5"/>
        <v>1.6363899113374103E-2</v>
      </c>
      <c r="F70" s="151">
        <f t="shared" si="6"/>
        <v>2.0036323583885185E-3</v>
      </c>
      <c r="N70" s="76">
        <v>13862.099609000001</v>
      </c>
    </row>
    <row r="71" spans="1:14">
      <c r="A71" s="394">
        <v>45587</v>
      </c>
      <c r="B71" s="393">
        <v>11923.3</v>
      </c>
      <c r="C71" s="393">
        <f t="shared" si="4"/>
        <v>24018</v>
      </c>
      <c r="E71" s="151">
        <f t="shared" si="5"/>
        <v>-2.7517104096620448E-3</v>
      </c>
      <c r="F71" s="151">
        <f t="shared" si="6"/>
        <v>2.6843779499277076E-3</v>
      </c>
      <c r="N71" s="76">
        <v>13986.700194999999</v>
      </c>
    </row>
    <row r="72" spans="1:14">
      <c r="A72" s="394">
        <v>45586</v>
      </c>
      <c r="B72" s="393">
        <v>12175.9</v>
      </c>
      <c r="C72" s="393">
        <f t="shared" si="4"/>
        <v>23943.599610000001</v>
      </c>
      <c r="E72" s="151">
        <f t="shared" si="5"/>
        <v>2.1185410079424427E-2</v>
      </c>
      <c r="F72" s="151">
        <f t="shared" si="6"/>
        <v>-3.0976929802647435E-3</v>
      </c>
      <c r="N72" s="76">
        <v>14037.650390999999</v>
      </c>
    </row>
    <row r="73" spans="1:14">
      <c r="A73" s="394">
        <v>45583</v>
      </c>
      <c r="B73" s="393">
        <v>12105.1</v>
      </c>
      <c r="C73" s="393">
        <f t="shared" si="4"/>
        <v>24012.199218000002</v>
      </c>
      <c r="E73" s="151">
        <f t="shared" si="5"/>
        <v>-5.8147652329600952E-3</v>
      </c>
      <c r="F73" s="151">
        <f t="shared" si="6"/>
        <v>2.8650499138547225E-3</v>
      </c>
      <c r="N73" s="76">
        <v>14088.450194999999</v>
      </c>
    </row>
    <row r="74" spans="1:14">
      <c r="A74" s="394">
        <v>45582</v>
      </c>
      <c r="B74" s="393">
        <v>12143.75</v>
      </c>
      <c r="C74" s="393">
        <f t="shared" si="4"/>
        <v>23685.400389999999</v>
      </c>
      <c r="E74" s="151">
        <f t="shared" si="5"/>
        <v>3.1928691212794735E-3</v>
      </c>
      <c r="F74" s="151">
        <f t="shared" si="6"/>
        <v>-1.3609700012609749E-2</v>
      </c>
      <c r="N74" s="76">
        <v>14090.75</v>
      </c>
    </row>
    <row r="75" spans="1:14">
      <c r="A75" s="394">
        <v>45581</v>
      </c>
      <c r="B75" s="393">
        <v>12383.9</v>
      </c>
      <c r="C75" s="393">
        <f t="shared" si="4"/>
        <v>23943.800781999998</v>
      </c>
      <c r="E75" s="151">
        <f t="shared" si="5"/>
        <v>1.9775604734945995E-2</v>
      </c>
      <c r="F75" s="151">
        <f t="shared" si="6"/>
        <v>1.0909690684777207E-2</v>
      </c>
      <c r="N75" s="76">
        <v>14090.75</v>
      </c>
    </row>
    <row r="76" spans="1:14">
      <c r="A76" s="394">
        <v>45580</v>
      </c>
      <c r="B76" s="393">
        <v>12446.75</v>
      </c>
      <c r="C76" s="393">
        <f t="shared" si="4"/>
        <v>23638.099610000001</v>
      </c>
      <c r="E76" s="151">
        <f t="shared" si="5"/>
        <v>5.0751378806352943E-3</v>
      </c>
      <c r="F76" s="151">
        <f t="shared" si="6"/>
        <v>-1.2767445518917397E-2</v>
      </c>
      <c r="N76" s="76">
        <v>14267.049805000001</v>
      </c>
    </row>
    <row r="77" spans="1:14">
      <c r="A77" s="394">
        <v>45579</v>
      </c>
      <c r="B77" s="393">
        <v>12537.85</v>
      </c>
      <c r="C77" s="393">
        <f t="shared" si="4"/>
        <v>23548.800781999998</v>
      </c>
      <c r="E77" s="151">
        <f t="shared" si="5"/>
        <v>7.3191797055456309E-3</v>
      </c>
      <c r="F77" s="151">
        <f t="shared" si="6"/>
        <v>-3.7777498814762778E-3</v>
      </c>
      <c r="N77" s="76">
        <v>14355.900390999999</v>
      </c>
    </row>
    <row r="78" spans="1:14">
      <c r="A78" s="394">
        <v>45576</v>
      </c>
      <c r="B78" s="393">
        <v>12776.65</v>
      </c>
      <c r="C78" s="393">
        <f t="shared" si="4"/>
        <v>23497.900389999999</v>
      </c>
      <c r="E78" s="151">
        <f t="shared" si="5"/>
        <v>1.9046327719664857E-2</v>
      </c>
      <c r="F78" s="151">
        <f t="shared" si="6"/>
        <v>-2.1614855240911224E-3</v>
      </c>
      <c r="N78" s="76">
        <v>14305.650390999999</v>
      </c>
    </row>
    <row r="79" spans="1:14">
      <c r="A79" s="394">
        <v>45575</v>
      </c>
      <c r="B79" s="393">
        <v>12944.1</v>
      </c>
      <c r="C79" s="393">
        <f t="shared" si="4"/>
        <v>23555.699218000002</v>
      </c>
      <c r="E79" s="151">
        <f t="shared" si="5"/>
        <v>1.3105939350299245E-2</v>
      </c>
      <c r="F79" s="151">
        <f t="shared" si="6"/>
        <v>2.4597443618665782E-3</v>
      </c>
      <c r="N79" s="76">
        <v>14305.5</v>
      </c>
    </row>
    <row r="80" spans="1:14">
      <c r="A80" s="394">
        <v>45574</v>
      </c>
      <c r="B80" s="393">
        <v>12760.7</v>
      </c>
      <c r="C80" s="393">
        <f t="shared" si="4"/>
        <v>23826.699218000002</v>
      </c>
      <c r="E80" s="151">
        <f t="shared" si="5"/>
        <v>-1.4168617362350422E-2</v>
      </c>
      <c r="F80" s="151">
        <f t="shared" si="6"/>
        <v>1.1504646815702069E-2</v>
      </c>
      <c r="N80" s="76">
        <v>14514.349609000001</v>
      </c>
    </row>
    <row r="81" spans="1:14">
      <c r="A81" s="394">
        <v>45573</v>
      </c>
      <c r="B81" s="393">
        <v>12531.95</v>
      </c>
      <c r="C81" s="393">
        <f>N10*2</f>
        <v>22707.300781999998</v>
      </c>
      <c r="E81" s="151">
        <f t="shared" si="5"/>
        <v>-1.7926132578933718E-2</v>
      </c>
      <c r="F81" s="151">
        <f t="shared" si="6"/>
        <v>-4.6980843874268041E-2</v>
      </c>
      <c r="N81" s="76">
        <v>14642.049805000001</v>
      </c>
    </row>
    <row r="82" spans="1:14">
      <c r="A82" s="394">
        <v>45572</v>
      </c>
      <c r="B82" s="393">
        <v>12527.5</v>
      </c>
      <c r="C82" s="393">
        <f t="shared" ref="C82:C93" si="7">N11*2</f>
        <v>22770.400389999999</v>
      </c>
      <c r="E82" s="151">
        <f t="shared" si="5"/>
        <v>-3.5509238386688402E-4</v>
      </c>
      <c r="F82" s="151">
        <f t="shared" si="6"/>
        <v>2.7788246875215528E-3</v>
      </c>
      <c r="N82" s="76">
        <v>14705.5</v>
      </c>
    </row>
    <row r="83" spans="1:14">
      <c r="A83" s="394">
        <v>45569</v>
      </c>
      <c r="B83" s="393">
        <v>12605.75</v>
      </c>
      <c r="C83" s="393">
        <f t="shared" si="7"/>
        <v>23091.800781999998</v>
      </c>
      <c r="E83" s="151">
        <f t="shared" si="5"/>
        <v>6.2462582318898452E-3</v>
      </c>
      <c r="F83" s="151">
        <f t="shared" si="6"/>
        <v>1.4114832699259283E-2</v>
      </c>
      <c r="N83" s="76">
        <v>14694.950194999999</v>
      </c>
    </row>
    <row r="84" spans="1:14">
      <c r="A84" s="394">
        <v>45568</v>
      </c>
      <c r="B84" s="393">
        <v>12647.35</v>
      </c>
      <c r="C84" s="393">
        <f t="shared" si="7"/>
        <v>23251.199218000002</v>
      </c>
      <c r="E84" s="151">
        <f t="shared" si="5"/>
        <v>3.3000813120995787E-3</v>
      </c>
      <c r="F84" s="151">
        <f t="shared" si="6"/>
        <v>6.9028153111494461E-3</v>
      </c>
      <c r="N84" s="76">
        <v>14731.150390999999</v>
      </c>
    </row>
    <row r="85" spans="1:14">
      <c r="A85" s="394">
        <v>45566</v>
      </c>
      <c r="B85" s="393">
        <v>13166</v>
      </c>
      <c r="C85" s="393">
        <f t="shared" si="7"/>
        <v>23541.5</v>
      </c>
      <c r="E85" s="151">
        <f t="shared" si="5"/>
        <v>4.1008590732446004E-2</v>
      </c>
      <c r="F85" s="151">
        <f t="shared" si="6"/>
        <v>1.2485411151406778E-2</v>
      </c>
      <c r="N85" s="76">
        <v>14558.799805000001</v>
      </c>
    </row>
    <row r="86" spans="1:14">
      <c r="A86" s="394">
        <v>45565</v>
      </c>
      <c r="B86" s="393">
        <v>13238</v>
      </c>
      <c r="C86" s="393">
        <f t="shared" si="7"/>
        <v>23667.800781999998</v>
      </c>
      <c r="E86" s="151">
        <f t="shared" si="5"/>
        <v>5.4686313231049333E-3</v>
      </c>
      <c r="F86" s="151">
        <f t="shared" si="6"/>
        <v>5.3650269524030403E-3</v>
      </c>
      <c r="N86" s="76">
        <v>14390.049805000001</v>
      </c>
    </row>
    <row r="87" spans="1:14">
      <c r="A87" s="394">
        <v>45562</v>
      </c>
      <c r="B87" s="393">
        <v>13495.6</v>
      </c>
      <c r="C87" s="393">
        <f t="shared" si="7"/>
        <v>23850.800781999998</v>
      </c>
      <c r="E87" s="151">
        <f t="shared" si="5"/>
        <v>1.945913279951661E-2</v>
      </c>
      <c r="F87" s="151">
        <f t="shared" si="6"/>
        <v>7.7320238447831091E-3</v>
      </c>
      <c r="N87" s="76">
        <v>14632.200194999999</v>
      </c>
    </row>
    <row r="88" spans="1:14">
      <c r="A88" s="394">
        <v>45561</v>
      </c>
      <c r="B88" s="393">
        <v>13383.8</v>
      </c>
      <c r="C88" s="393">
        <f t="shared" si="7"/>
        <v>23981.400389999999</v>
      </c>
      <c r="E88" s="151">
        <f t="shared" si="5"/>
        <v>-8.2841815110110684E-3</v>
      </c>
      <c r="F88" s="151">
        <f t="shared" si="6"/>
        <v>5.475690698760971E-3</v>
      </c>
      <c r="N88" s="76">
        <v>14751.299805000001</v>
      </c>
    </row>
    <row r="89" spans="1:14">
      <c r="A89" s="394">
        <v>45560</v>
      </c>
      <c r="B89" s="393">
        <v>12785.3</v>
      </c>
      <c r="C89" s="393">
        <f t="shared" si="7"/>
        <v>23998.099610000001</v>
      </c>
      <c r="E89" s="151">
        <f t="shared" si="5"/>
        <v>-4.4718241456088714E-2</v>
      </c>
      <c r="F89" s="151">
        <f t="shared" si="6"/>
        <v>6.9634048589439779E-4</v>
      </c>
      <c r="N89" s="76">
        <v>14686.549805000001</v>
      </c>
    </row>
    <row r="90" spans="1:14">
      <c r="A90" s="394">
        <v>45559</v>
      </c>
      <c r="B90" s="393">
        <v>12738.6</v>
      </c>
      <c r="C90" s="393">
        <f t="shared" si="7"/>
        <v>23991.400389999999</v>
      </c>
      <c r="E90" s="151">
        <f t="shared" si="5"/>
        <v>-3.6526323199298494E-3</v>
      </c>
      <c r="F90" s="151">
        <f t="shared" si="6"/>
        <v>-2.7915627107455432E-4</v>
      </c>
      <c r="N90" s="76">
        <v>14479.599609000001</v>
      </c>
    </row>
    <row r="91" spans="1:14">
      <c r="A91" s="394">
        <v>45558</v>
      </c>
      <c r="B91" s="393">
        <v>12683.1</v>
      </c>
      <c r="C91" s="393">
        <f>N20*2</f>
        <v>24078.099610000001</v>
      </c>
      <c r="E91" s="151">
        <f t="shared" si="5"/>
        <v>-4.3568367010503595E-3</v>
      </c>
      <c r="F91" s="151">
        <f t="shared" si="6"/>
        <v>3.6137623727934276E-3</v>
      </c>
      <c r="N91" s="76">
        <v>14348.450194999999</v>
      </c>
    </row>
    <row r="92" spans="1:14">
      <c r="A92" s="394">
        <v>45555</v>
      </c>
      <c r="B92" s="393">
        <v>12614.5</v>
      </c>
      <c r="C92" s="393">
        <f>N21*2</f>
        <v>23516.400389999999</v>
      </c>
      <c r="E92" s="151">
        <f t="shared" si="5"/>
        <v>-5.4087723033012791E-3</v>
      </c>
      <c r="F92" s="151">
        <f t="shared" si="6"/>
        <v>-2.3328220627790719E-2</v>
      </c>
      <c r="N92" s="76">
        <v>14085.849609000001</v>
      </c>
    </row>
    <row r="93" spans="1:14">
      <c r="A93" s="394">
        <v>45554</v>
      </c>
      <c r="B93" s="393">
        <v>12351.5</v>
      </c>
      <c r="C93" s="393">
        <f t="shared" si="7"/>
        <v>23686.699218000002</v>
      </c>
      <c r="E93" s="151">
        <f t="shared" si="5"/>
        <v>-2.0849022949779972E-2</v>
      </c>
      <c r="F93" s="151">
        <f t="shared" si="6"/>
        <v>7.2417047326860384E-3</v>
      </c>
      <c r="N93" s="76">
        <v>13947.25</v>
      </c>
    </row>
    <row r="94" spans="1:14">
      <c r="A94" s="394">
        <v>45553</v>
      </c>
      <c r="B94" s="393">
        <v>12204.1</v>
      </c>
      <c r="C94" s="393">
        <f t="shared" ref="C94:C118" si="8">N10*2</f>
        <v>22707.300781999998</v>
      </c>
      <c r="E94" s="151">
        <f t="shared" si="5"/>
        <v>-1.1933773225923927E-2</v>
      </c>
      <c r="F94" s="151">
        <f t="shared" si="6"/>
        <v>-4.1348033636351422E-2</v>
      </c>
      <c r="N94" s="76">
        <v>13743.299805000001</v>
      </c>
    </row>
    <row r="95" spans="1:14">
      <c r="A95" s="394">
        <v>45552</v>
      </c>
      <c r="B95" s="393">
        <v>12245.75</v>
      </c>
      <c r="C95" s="393">
        <f t="shared" si="8"/>
        <v>22770.400389999999</v>
      </c>
      <c r="E95" s="151">
        <f t="shared" si="5"/>
        <v>3.4127875058380663E-3</v>
      </c>
      <c r="F95" s="151">
        <f t="shared" si="6"/>
        <v>2.7788246875215528E-3</v>
      </c>
      <c r="N95" s="76">
        <v>14361.650390999999</v>
      </c>
    </row>
    <row r="96" spans="1:14">
      <c r="A96" s="394">
        <v>45551</v>
      </c>
      <c r="B96" s="393">
        <v>12289</v>
      </c>
      <c r="C96" s="393">
        <f t="shared" si="8"/>
        <v>23091.800781999998</v>
      </c>
      <c r="E96" s="151">
        <f t="shared" si="5"/>
        <v>3.5318375763020438E-3</v>
      </c>
      <c r="F96" s="151">
        <f t="shared" si="6"/>
        <v>1.4114832699259283E-2</v>
      </c>
      <c r="N96" s="76">
        <v>14720.549805000001</v>
      </c>
    </row>
    <row r="97" spans="1:14">
      <c r="A97" s="394">
        <v>45548</v>
      </c>
      <c r="B97" s="393">
        <v>12316.05</v>
      </c>
      <c r="C97" s="393">
        <f t="shared" si="8"/>
        <v>23251.199218000002</v>
      </c>
      <c r="E97" s="151">
        <f t="shared" si="5"/>
        <v>2.201155504923058E-3</v>
      </c>
      <c r="F97" s="151">
        <f t="shared" si="6"/>
        <v>6.9028153111494461E-3</v>
      </c>
      <c r="N97" s="76">
        <v>14854</v>
      </c>
    </row>
    <row r="98" spans="1:14">
      <c r="A98" s="394">
        <v>45547</v>
      </c>
      <c r="B98" s="393">
        <v>12400.85</v>
      </c>
      <c r="C98" s="393">
        <f t="shared" si="8"/>
        <v>23541.5</v>
      </c>
      <c r="E98" s="151">
        <f t="shared" si="5"/>
        <v>6.8853244343762832E-3</v>
      </c>
      <c r="F98" s="151">
        <f t="shared" si="6"/>
        <v>1.2485411151406778E-2</v>
      </c>
      <c r="N98" s="76">
        <v>14977.150390999999</v>
      </c>
    </row>
    <row r="99" spans="1:14">
      <c r="A99" s="394">
        <v>45546</v>
      </c>
      <c r="B99" s="393">
        <v>12242.6</v>
      </c>
      <c r="C99" s="393">
        <f t="shared" si="8"/>
        <v>23667.800781999998</v>
      </c>
      <c r="E99" s="151">
        <f t="shared" si="5"/>
        <v>-1.2761222013007223E-2</v>
      </c>
      <c r="F99" s="151">
        <f t="shared" si="6"/>
        <v>5.3650269524030403E-3</v>
      </c>
      <c r="N99" s="76">
        <v>14988.950194999999</v>
      </c>
    </row>
    <row r="100" spans="1:14">
      <c r="A100" s="394">
        <v>45545</v>
      </c>
      <c r="B100" s="393">
        <v>12263.4</v>
      </c>
      <c r="C100" s="393">
        <f t="shared" si="8"/>
        <v>23850.800781999998</v>
      </c>
      <c r="E100" s="151">
        <f t="shared" si="5"/>
        <v>1.6989855096138928E-3</v>
      </c>
      <c r="F100" s="151">
        <f t="shared" si="6"/>
        <v>7.7320238447831091E-3</v>
      </c>
      <c r="N100" s="76">
        <v>15177.950194999999</v>
      </c>
    </row>
    <row r="101" spans="1:14">
      <c r="A101" s="394">
        <v>45544</v>
      </c>
      <c r="B101" s="393">
        <v>12145.75</v>
      </c>
      <c r="C101" s="393">
        <f t="shared" si="8"/>
        <v>23981.400389999999</v>
      </c>
      <c r="E101" s="151">
        <f t="shared" si="5"/>
        <v>-9.5935874227375262E-3</v>
      </c>
      <c r="F101" s="151">
        <f t="shared" si="6"/>
        <v>5.475690698760971E-3</v>
      </c>
      <c r="N101" s="76">
        <v>15171.25</v>
      </c>
    </row>
    <row r="102" spans="1:14">
      <c r="A102" s="394">
        <v>45541</v>
      </c>
      <c r="B102" s="393">
        <v>12186.15</v>
      </c>
      <c r="C102" s="393">
        <f t="shared" si="8"/>
        <v>23998.099610000001</v>
      </c>
      <c r="E102" s="151">
        <f t="shared" si="5"/>
        <v>3.32626638947775E-3</v>
      </c>
      <c r="F102" s="151">
        <f t="shared" si="6"/>
        <v>6.9634048589439779E-4</v>
      </c>
      <c r="N102" s="76">
        <v>15176.400390999999</v>
      </c>
    </row>
    <row r="103" spans="1:14">
      <c r="A103" s="394">
        <v>45540</v>
      </c>
      <c r="B103" s="393">
        <v>12298.6</v>
      </c>
      <c r="C103" s="393">
        <f t="shared" si="8"/>
        <v>23991.400389999999</v>
      </c>
      <c r="E103" s="151">
        <f t="shared" si="5"/>
        <v>9.2276888106581634E-3</v>
      </c>
      <c r="F103" s="151">
        <f t="shared" si="6"/>
        <v>-2.7915627107455432E-4</v>
      </c>
      <c r="N103" s="76">
        <v>15249.650390999999</v>
      </c>
    </row>
    <row r="104" spans="1:14">
      <c r="A104" s="394">
        <v>45539</v>
      </c>
      <c r="B104" s="393">
        <v>12336.25</v>
      </c>
      <c r="C104" s="393">
        <f>N20*2</f>
        <v>24078.099610000001</v>
      </c>
      <c r="E104" s="151">
        <f t="shared" si="5"/>
        <v>3.0613240531442987E-3</v>
      </c>
      <c r="F104" s="151">
        <f t="shared" si="6"/>
        <v>3.6137623727934276E-3</v>
      </c>
      <c r="N104" s="76">
        <v>15245.75</v>
      </c>
    </row>
    <row r="105" spans="1:14">
      <c r="A105" s="394">
        <v>45538</v>
      </c>
      <c r="B105" s="393">
        <v>12397.1</v>
      </c>
      <c r="C105" s="393">
        <f>N21*2</f>
        <v>23516.400389999999</v>
      </c>
      <c r="E105" s="151">
        <f t="shared" si="5"/>
        <v>4.9326172864525564E-3</v>
      </c>
      <c r="F105" s="151">
        <f t="shared" si="6"/>
        <v>-2.3328220627790719E-2</v>
      </c>
      <c r="N105" s="76">
        <v>15399.200194999999</v>
      </c>
    </row>
    <row r="106" spans="1:14">
      <c r="A106" s="394">
        <v>45537</v>
      </c>
      <c r="B106" s="393">
        <v>12427.4</v>
      </c>
      <c r="C106" s="393">
        <f t="shared" si="8"/>
        <v>23686.699218000002</v>
      </c>
      <c r="E106" s="151">
        <f t="shared" si="5"/>
        <v>2.444119995805405E-3</v>
      </c>
      <c r="F106" s="151">
        <f t="shared" si="6"/>
        <v>7.2417047326860384E-3</v>
      </c>
      <c r="N106" s="76">
        <v>15406</v>
      </c>
    </row>
    <row r="107" spans="1:14">
      <c r="A107" s="394">
        <v>45534</v>
      </c>
      <c r="B107" s="393">
        <v>12403</v>
      </c>
      <c r="C107" s="393">
        <f t="shared" si="8"/>
        <v>23905.800781999998</v>
      </c>
      <c r="E107" s="151">
        <f t="shared" si="5"/>
        <v>-1.9634034472214568E-3</v>
      </c>
      <c r="F107" s="151">
        <f t="shared" si="6"/>
        <v>9.2499829538721379E-3</v>
      </c>
      <c r="N107" s="76">
        <v>15318.5</v>
      </c>
    </row>
    <row r="108" spans="1:14">
      <c r="A108" s="394">
        <v>45533</v>
      </c>
      <c r="B108" s="393">
        <v>12453.8</v>
      </c>
      <c r="C108" s="393">
        <f t="shared" si="8"/>
        <v>23953.699218000002</v>
      </c>
      <c r="E108" s="151">
        <f t="shared" si="5"/>
        <v>4.0957832782391179E-3</v>
      </c>
      <c r="F108" s="151">
        <f t="shared" si="6"/>
        <v>2.0036323583885185E-3</v>
      </c>
      <c r="N108" s="76">
        <v>15249.5</v>
      </c>
    </row>
    <row r="109" spans="1:14">
      <c r="A109" s="394">
        <v>45532</v>
      </c>
      <c r="B109" s="393">
        <v>12357.5</v>
      </c>
      <c r="C109" s="393">
        <f t="shared" si="8"/>
        <v>24018</v>
      </c>
      <c r="E109" s="151">
        <f t="shared" si="5"/>
        <v>-7.7325796142542202E-3</v>
      </c>
      <c r="F109" s="151">
        <f t="shared" si="6"/>
        <v>2.6843779499277076E-3</v>
      </c>
      <c r="N109" s="76">
        <v>15102.650390999999</v>
      </c>
    </row>
    <row r="110" spans="1:14">
      <c r="A110" s="394">
        <v>45531</v>
      </c>
      <c r="B110" s="393">
        <v>12496.9</v>
      </c>
      <c r="C110" s="393">
        <f t="shared" si="8"/>
        <v>23943.599610000001</v>
      </c>
      <c r="E110" s="151">
        <f t="shared" si="5"/>
        <v>1.1280598826623578E-2</v>
      </c>
      <c r="F110" s="151">
        <f t="shared" si="6"/>
        <v>-3.0976929802647435E-3</v>
      </c>
      <c r="N110" s="76">
        <v>14802.450194999999</v>
      </c>
    </row>
    <row r="111" spans="1:14">
      <c r="A111" s="394">
        <v>45530</v>
      </c>
      <c r="B111" s="393">
        <v>12243.8</v>
      </c>
      <c r="C111" s="393">
        <f t="shared" si="8"/>
        <v>24012.199218000002</v>
      </c>
      <c r="E111" s="151">
        <f t="shared" si="5"/>
        <v>-2.0253022749641914E-2</v>
      </c>
      <c r="F111" s="151">
        <f t="shared" si="6"/>
        <v>2.8650499138547225E-3</v>
      </c>
      <c r="N111" s="76">
        <v>14844.25</v>
      </c>
    </row>
    <row r="112" spans="1:14">
      <c r="A112" s="394">
        <v>45527</v>
      </c>
      <c r="B112" s="393">
        <v>12302.3</v>
      </c>
      <c r="C112" s="393">
        <f t="shared" si="8"/>
        <v>23685.400389999999</v>
      </c>
      <c r="E112" s="151">
        <f t="shared" si="5"/>
        <v>4.7779284209150674E-3</v>
      </c>
      <c r="F112" s="151">
        <f t="shared" si="6"/>
        <v>-1.3609700012609749E-2</v>
      </c>
      <c r="N112" s="76">
        <v>15094.849609000001</v>
      </c>
    </row>
    <row r="113" spans="1:14">
      <c r="A113" s="394">
        <v>45526</v>
      </c>
      <c r="B113" s="393">
        <v>12276.35</v>
      </c>
      <c r="C113" s="393">
        <f t="shared" si="8"/>
        <v>23943.800781999998</v>
      </c>
      <c r="E113" s="151">
        <f t="shared" si="5"/>
        <v>-2.1093616640789348E-3</v>
      </c>
      <c r="F113" s="151">
        <f t="shared" si="6"/>
        <v>1.0909690684777207E-2</v>
      </c>
      <c r="N113" s="76">
        <v>15209</v>
      </c>
    </row>
    <row r="114" spans="1:14">
      <c r="A114" s="394">
        <v>45525</v>
      </c>
      <c r="B114" s="393">
        <v>12220.95</v>
      </c>
      <c r="C114" s="393">
        <f t="shared" si="8"/>
        <v>23638.099610000001</v>
      </c>
      <c r="E114" s="151">
        <f t="shared" si="5"/>
        <v>-4.5127419794971368E-3</v>
      </c>
      <c r="F114" s="151">
        <f t="shared" si="6"/>
        <v>-1.2767445518917397E-2</v>
      </c>
      <c r="N114" s="76">
        <v>14667.599609000001</v>
      </c>
    </row>
    <row r="115" spans="1:14">
      <c r="A115" s="394">
        <v>45524</v>
      </c>
      <c r="B115" s="393">
        <v>12214.95</v>
      </c>
      <c r="C115" s="393">
        <f t="shared" si="8"/>
        <v>23548.800781999998</v>
      </c>
      <c r="E115" s="151">
        <f t="shared" si="5"/>
        <v>-4.9096019540217917E-4</v>
      </c>
      <c r="F115" s="151">
        <f t="shared" si="6"/>
        <v>-3.7777498814762778E-3</v>
      </c>
      <c r="N115" s="76">
        <v>14889.650390999999</v>
      </c>
    </row>
    <row r="116" spans="1:14">
      <c r="A116" s="394">
        <v>45523</v>
      </c>
      <c r="B116" s="393">
        <v>12149.8</v>
      </c>
      <c r="C116" s="393">
        <f t="shared" si="8"/>
        <v>23497.900389999999</v>
      </c>
      <c r="E116" s="151">
        <f t="shared" si="5"/>
        <v>-5.3336280541468328E-3</v>
      </c>
      <c r="F116" s="151">
        <f t="shared" si="6"/>
        <v>-2.1614855240911224E-3</v>
      </c>
      <c r="N116" s="76">
        <v>15061.599609000001</v>
      </c>
    </row>
    <row r="117" spans="1:14">
      <c r="A117" s="394">
        <v>45520</v>
      </c>
      <c r="B117" s="393">
        <v>12213.3</v>
      </c>
      <c r="C117" s="393">
        <f t="shared" si="8"/>
        <v>23555.699218000002</v>
      </c>
      <c r="E117" s="151">
        <f t="shared" si="5"/>
        <v>5.2264234802219534E-3</v>
      </c>
      <c r="F117" s="151">
        <f t="shared" si="6"/>
        <v>2.4597443618665782E-3</v>
      </c>
      <c r="N117" s="76">
        <v>15379.5</v>
      </c>
    </row>
    <row r="118" spans="1:14">
      <c r="A118" s="394">
        <v>45518</v>
      </c>
      <c r="B118" s="393">
        <v>12205.65</v>
      </c>
      <c r="C118" s="393">
        <f t="shared" si="8"/>
        <v>23826.699218000002</v>
      </c>
      <c r="E118" s="151">
        <f t="shared" si="5"/>
        <v>-6.2636633833601518E-4</v>
      </c>
      <c r="F118" s="151">
        <f t="shared" si="6"/>
        <v>1.1504646815702069E-2</v>
      </c>
      <c r="N118" s="76">
        <v>15238.75</v>
      </c>
    </row>
    <row r="119" spans="1:14">
      <c r="A119" s="394">
        <v>45517</v>
      </c>
      <c r="B119" s="393">
        <v>12176.25</v>
      </c>
      <c r="C119" s="393">
        <f t="shared" ref="C119:C143" si="9">N4*2</f>
        <v>22734.5</v>
      </c>
      <c r="E119" s="151">
        <f t="shared" si="5"/>
        <v>-2.4087205515478383E-3</v>
      </c>
      <c r="F119" s="151">
        <f t="shared" si="6"/>
        <v>-4.5839300190388732E-2</v>
      </c>
      <c r="N119" s="76">
        <v>15084.349609000001</v>
      </c>
    </row>
    <row r="120" spans="1:14">
      <c r="A120" s="394">
        <v>45516</v>
      </c>
      <c r="B120" s="393">
        <v>12273.25</v>
      </c>
      <c r="C120" s="393">
        <f t="shared" si="9"/>
        <v>22529.099610000001</v>
      </c>
      <c r="E120" s="151">
        <f t="shared" si="5"/>
        <v>7.9663278924135827E-3</v>
      </c>
      <c r="F120" s="151">
        <f t="shared" si="6"/>
        <v>-9.0347441113725058E-3</v>
      </c>
      <c r="N120" s="76">
        <v>15096.849609000001</v>
      </c>
    </row>
    <row r="121" spans="1:14">
      <c r="A121" s="394">
        <v>45513</v>
      </c>
      <c r="B121" s="393">
        <v>12224.2</v>
      </c>
      <c r="C121" s="393">
        <f t="shared" si="9"/>
        <v>22483.199218000002</v>
      </c>
      <c r="E121" s="151">
        <f t="shared" si="5"/>
        <v>-3.9964964455216911E-3</v>
      </c>
      <c r="F121" s="151">
        <f t="shared" si="6"/>
        <v>-2.0373824429106291E-3</v>
      </c>
      <c r="N121" s="76">
        <v>15206</v>
      </c>
    </row>
    <row r="122" spans="1:14">
      <c r="A122" s="394">
        <v>45512</v>
      </c>
      <c r="B122" s="393">
        <v>12218.85</v>
      </c>
      <c r="C122" s="393">
        <f t="shared" si="9"/>
        <v>21844.5</v>
      </c>
      <c r="E122" s="151">
        <f t="shared" si="5"/>
        <v>-4.3765645195603664E-4</v>
      </c>
      <c r="F122" s="151">
        <f t="shared" si="6"/>
        <v>-2.8407844088694456E-2</v>
      </c>
      <c r="N122" s="76">
        <v>15284.849609000001</v>
      </c>
    </row>
    <row r="123" spans="1:14">
      <c r="A123" s="394">
        <v>45511</v>
      </c>
      <c r="B123" s="393">
        <v>12371.5</v>
      </c>
      <c r="C123" s="393">
        <f t="shared" si="9"/>
        <v>22352.599610000001</v>
      </c>
      <c r="E123" s="151">
        <f t="shared" si="5"/>
        <v>1.2492992384717017E-2</v>
      </c>
      <c r="F123" s="151">
        <f t="shared" si="6"/>
        <v>2.3259841607727427E-2</v>
      </c>
      <c r="N123" s="76">
        <v>15140.150390999999</v>
      </c>
    </row>
    <row r="124" spans="1:14">
      <c r="A124" s="394">
        <v>45510</v>
      </c>
      <c r="B124" s="393">
        <v>12131.1</v>
      </c>
      <c r="C124" s="393">
        <f t="shared" si="9"/>
        <v>22730.5</v>
      </c>
      <c r="E124" s="151">
        <f t="shared" si="5"/>
        <v>-1.9431758477145067E-2</v>
      </c>
      <c r="F124" s="151">
        <f t="shared" si="6"/>
        <v>1.6906328417878314E-2</v>
      </c>
      <c r="N124" s="76">
        <v>15040.849609000001</v>
      </c>
    </row>
    <row r="125" spans="1:14">
      <c r="A125" s="394">
        <v>45509</v>
      </c>
      <c r="B125" s="393">
        <v>12200.85</v>
      </c>
      <c r="C125" s="393">
        <f t="shared" si="9"/>
        <v>22707.300781999998</v>
      </c>
      <c r="E125" s="151">
        <f t="shared" si="5"/>
        <v>5.7496846947102664E-3</v>
      </c>
      <c r="F125" s="151">
        <f t="shared" si="6"/>
        <v>-1.0206206638657678E-3</v>
      </c>
      <c r="N125" s="76">
        <v>15033.299805000001</v>
      </c>
    </row>
    <row r="126" spans="1:14">
      <c r="A126" s="394">
        <v>45506</v>
      </c>
      <c r="B126" s="393">
        <v>12726.4</v>
      </c>
      <c r="C126" s="393">
        <f t="shared" si="9"/>
        <v>22770.400389999999</v>
      </c>
      <c r="E126" s="151">
        <f t="shared" si="5"/>
        <v>4.3074867734624878E-2</v>
      </c>
      <c r="F126" s="151">
        <f t="shared" si="6"/>
        <v>2.7788246875215528E-3</v>
      </c>
      <c r="N126" s="76">
        <v>14828.849609000001</v>
      </c>
    </row>
    <row r="127" spans="1:14">
      <c r="A127" s="394">
        <v>45505</v>
      </c>
      <c r="B127" s="393">
        <v>13359.05</v>
      </c>
      <c r="C127" s="393">
        <f t="shared" si="9"/>
        <v>23091.800781999998</v>
      </c>
      <c r="E127" s="151">
        <f t="shared" si="5"/>
        <v>4.9711623082725698E-2</v>
      </c>
      <c r="F127" s="151">
        <f t="shared" si="6"/>
        <v>1.4114832699259283E-2</v>
      </c>
      <c r="N127" s="76">
        <v>14662.5</v>
      </c>
    </row>
    <row r="128" spans="1:14">
      <c r="A128" s="394">
        <v>45504</v>
      </c>
      <c r="B128" s="393">
        <v>13115.8</v>
      </c>
      <c r="C128" s="393">
        <f t="shared" si="9"/>
        <v>23251.199218000002</v>
      </c>
      <c r="E128" s="151">
        <f t="shared" si="5"/>
        <v>-1.8208630104685541E-2</v>
      </c>
      <c r="F128" s="151">
        <f t="shared" si="6"/>
        <v>6.9028153111494461E-3</v>
      </c>
      <c r="N128" s="76">
        <v>14847.25</v>
      </c>
    </row>
    <row r="129" spans="1:14">
      <c r="A129" s="394">
        <v>45503</v>
      </c>
      <c r="B129" s="393">
        <v>12873.65</v>
      </c>
      <c r="C129" s="393">
        <f t="shared" si="9"/>
        <v>23541.5</v>
      </c>
      <c r="E129" s="151">
        <f t="shared" si="5"/>
        <v>-1.8462465118406768E-2</v>
      </c>
      <c r="F129" s="151">
        <f t="shared" si="6"/>
        <v>1.2485411151406778E-2</v>
      </c>
      <c r="N129" s="76">
        <v>14859.700194999999</v>
      </c>
    </row>
    <row r="130" spans="1:14">
      <c r="A130" s="394">
        <v>45502</v>
      </c>
      <c r="B130" s="393">
        <v>12751.55</v>
      </c>
      <c r="C130" s="393">
        <f t="shared" si="9"/>
        <v>23667.800781999998</v>
      </c>
      <c r="E130" s="151">
        <f t="shared" si="5"/>
        <v>-9.4844896358065034E-3</v>
      </c>
      <c r="F130" s="151">
        <f t="shared" si="6"/>
        <v>5.3650269524030403E-3</v>
      </c>
      <c r="N130" s="76">
        <v>14952.099609000001</v>
      </c>
    </row>
    <row r="131" spans="1:14">
      <c r="A131" s="394">
        <v>45499</v>
      </c>
      <c r="B131" s="393">
        <v>12663.7</v>
      </c>
      <c r="C131" s="393">
        <f t="shared" si="9"/>
        <v>23850.800781999998</v>
      </c>
      <c r="E131" s="151">
        <f t="shared" si="5"/>
        <v>-6.889358548568536E-3</v>
      </c>
      <c r="F131" s="151">
        <f t="shared" si="6"/>
        <v>7.7320238447831091E-3</v>
      </c>
      <c r="N131" s="76">
        <v>14690.049805000001</v>
      </c>
    </row>
    <row r="132" spans="1:14">
      <c r="A132" s="394">
        <v>45498</v>
      </c>
      <c r="B132" s="393">
        <v>12509.2</v>
      </c>
      <c r="C132" s="393">
        <f t="shared" si="9"/>
        <v>23981.400389999999</v>
      </c>
      <c r="E132" s="151">
        <f t="shared" ref="E132:E195" si="10">B132/B131-1</f>
        <v>-1.2200225842368351E-2</v>
      </c>
      <c r="F132" s="151">
        <f t="shared" ref="F132:F195" si="11">C132/C131-1</f>
        <v>5.475690698760971E-3</v>
      </c>
      <c r="N132" s="76">
        <v>14450.549805000001</v>
      </c>
    </row>
    <row r="133" spans="1:14">
      <c r="A133" s="394">
        <v>45497</v>
      </c>
      <c r="B133" s="393">
        <v>12487.25</v>
      </c>
      <c r="C133" s="393">
        <f t="shared" si="9"/>
        <v>23998.099610000001</v>
      </c>
      <c r="E133" s="151">
        <f t="shared" si="10"/>
        <v>-1.7547085345186453E-3</v>
      </c>
      <c r="F133" s="151">
        <f t="shared" si="11"/>
        <v>6.9634048589439779E-4</v>
      </c>
      <c r="N133" s="76">
        <v>14633.5</v>
      </c>
    </row>
    <row r="134" spans="1:14">
      <c r="A134" s="394">
        <v>45496</v>
      </c>
      <c r="B134" s="393">
        <v>12629.05</v>
      </c>
      <c r="C134" s="393">
        <f t="shared" si="9"/>
        <v>23991.400389999999</v>
      </c>
      <c r="E134" s="151">
        <f t="shared" si="10"/>
        <v>1.135558269434811E-2</v>
      </c>
      <c r="F134" s="151">
        <f t="shared" si="11"/>
        <v>-2.7915627107455432E-4</v>
      </c>
      <c r="N134" s="76">
        <v>14936.049805000001</v>
      </c>
    </row>
    <row r="135" spans="1:14">
      <c r="A135" s="394">
        <v>45495</v>
      </c>
      <c r="B135" s="393">
        <v>12641.25</v>
      </c>
      <c r="C135" s="393">
        <f>N20*2</f>
        <v>24078.099610000001</v>
      </c>
      <c r="E135" s="151">
        <f t="shared" si="10"/>
        <v>9.6602673993695376E-4</v>
      </c>
      <c r="F135" s="151">
        <f t="shared" si="11"/>
        <v>3.6137623727934276E-3</v>
      </c>
      <c r="N135" s="76">
        <v>14807.450194999999</v>
      </c>
    </row>
    <row r="136" spans="1:14">
      <c r="A136" s="394">
        <v>45492</v>
      </c>
      <c r="B136" s="393">
        <v>12524.3</v>
      </c>
      <c r="C136" s="393">
        <f>N21*2</f>
        <v>23516.400389999999</v>
      </c>
      <c r="E136" s="151">
        <f t="shared" si="10"/>
        <v>-9.2514585187383203E-3</v>
      </c>
      <c r="F136" s="151">
        <f t="shared" si="11"/>
        <v>-2.3328220627790719E-2</v>
      </c>
      <c r="N136" s="76">
        <v>14993.049805000001</v>
      </c>
    </row>
    <row r="137" spans="1:14">
      <c r="A137" s="394">
        <v>45491</v>
      </c>
      <c r="B137" s="393">
        <v>12644.05</v>
      </c>
      <c r="C137" s="393">
        <f t="shared" si="9"/>
        <v>23686.699218000002</v>
      </c>
      <c r="E137" s="151">
        <f t="shared" si="10"/>
        <v>9.5614126138785505E-3</v>
      </c>
      <c r="F137" s="151">
        <f t="shared" si="11"/>
        <v>7.2417047326860384E-3</v>
      </c>
      <c r="N137" s="76">
        <v>14775.700194999999</v>
      </c>
    </row>
    <row r="138" spans="1:14">
      <c r="A138" s="394">
        <v>45489</v>
      </c>
      <c r="B138" s="393">
        <v>12639.55</v>
      </c>
      <c r="C138" s="393">
        <f t="shared" si="9"/>
        <v>23905.800781999998</v>
      </c>
      <c r="E138" s="151">
        <f t="shared" si="10"/>
        <v>-3.55898624254114E-4</v>
      </c>
      <c r="F138" s="151">
        <f t="shared" si="11"/>
        <v>9.2499829538721379E-3</v>
      </c>
      <c r="N138" s="76">
        <v>14836.25</v>
      </c>
    </row>
    <row r="139" spans="1:14">
      <c r="A139" s="394">
        <v>45488</v>
      </c>
      <c r="B139" s="393">
        <v>12643.95</v>
      </c>
      <c r="C139" s="393">
        <f t="shared" si="9"/>
        <v>23953.699218000002</v>
      </c>
      <c r="E139" s="151">
        <f t="shared" si="10"/>
        <v>3.4811365910991654E-4</v>
      </c>
      <c r="F139" s="151">
        <f t="shared" si="11"/>
        <v>2.0036323583885185E-3</v>
      </c>
      <c r="N139" s="76">
        <v>14973.950194999999</v>
      </c>
    </row>
    <row r="140" spans="1:14">
      <c r="A140" s="394">
        <v>45485</v>
      </c>
      <c r="B140" s="393">
        <v>12562.5</v>
      </c>
      <c r="C140" s="393">
        <f t="shared" si="9"/>
        <v>24018</v>
      </c>
      <c r="E140" s="151">
        <f t="shared" si="10"/>
        <v>-6.4418160464095875E-3</v>
      </c>
      <c r="F140" s="151">
        <f t="shared" si="11"/>
        <v>2.6843779499277076E-3</v>
      </c>
      <c r="N140" s="76">
        <v>15036.150390999999</v>
      </c>
    </row>
    <row r="141" spans="1:14">
      <c r="A141" s="394">
        <v>45484</v>
      </c>
      <c r="B141" s="393">
        <v>12715.2</v>
      </c>
      <c r="C141" s="393">
        <f t="shared" si="9"/>
        <v>23943.599610000001</v>
      </c>
      <c r="E141" s="151">
        <f t="shared" si="10"/>
        <v>1.2155223880597088E-2</v>
      </c>
      <c r="F141" s="151">
        <f t="shared" si="11"/>
        <v>-3.0976929802647435E-3</v>
      </c>
      <c r="N141" s="76">
        <v>15004.150390999999</v>
      </c>
    </row>
    <row r="142" spans="1:14">
      <c r="A142" s="394">
        <v>45483</v>
      </c>
      <c r="B142" s="393">
        <v>12772.8</v>
      </c>
      <c r="C142" s="393">
        <f t="shared" si="9"/>
        <v>24012.199218000002</v>
      </c>
      <c r="E142" s="151">
        <f t="shared" si="10"/>
        <v>4.5300113250281715E-3</v>
      </c>
      <c r="F142" s="151">
        <f t="shared" si="11"/>
        <v>2.8650499138547225E-3</v>
      </c>
      <c r="N142" s="76">
        <v>14450.049805000001</v>
      </c>
    </row>
    <row r="143" spans="1:14">
      <c r="A143" s="394">
        <v>45482</v>
      </c>
      <c r="B143" s="393">
        <v>12827.7</v>
      </c>
      <c r="C143" s="393">
        <f t="shared" si="9"/>
        <v>23685.400389999999</v>
      </c>
      <c r="E143" s="151">
        <f t="shared" si="10"/>
        <v>4.2981961668546731E-3</v>
      </c>
      <c r="F143" s="151">
        <f t="shared" si="11"/>
        <v>-1.3609700012609749E-2</v>
      </c>
      <c r="N143" s="76">
        <v>14639.400390999999</v>
      </c>
    </row>
    <row r="144" spans="1:14">
      <c r="A144" s="394">
        <v>45481</v>
      </c>
      <c r="B144" s="393">
        <v>12023.6</v>
      </c>
      <c r="C144" s="393">
        <f t="shared" ref="C144:C157" si="12">N24*2</f>
        <v>23953.699218000002</v>
      </c>
      <c r="E144" s="151">
        <f t="shared" si="10"/>
        <v>-6.2684658980175723E-2</v>
      </c>
      <c r="F144" s="151">
        <f t="shared" si="11"/>
        <v>1.1327603653822127E-2</v>
      </c>
      <c r="N144" s="76">
        <v>14719.25</v>
      </c>
    </row>
    <row r="145" spans="1:14">
      <c r="A145" s="394">
        <v>45478</v>
      </c>
      <c r="B145" s="393">
        <v>12104.05</v>
      </c>
      <c r="C145" s="393">
        <f t="shared" si="12"/>
        <v>24018</v>
      </c>
      <c r="E145" s="151">
        <f t="shared" si="10"/>
        <v>6.6910076848862854E-3</v>
      </c>
      <c r="F145" s="151">
        <f t="shared" si="11"/>
        <v>2.6843779499277076E-3</v>
      </c>
      <c r="N145" s="76">
        <v>14773.200194999999</v>
      </c>
    </row>
    <row r="146" spans="1:14">
      <c r="A146" s="394">
        <v>45477</v>
      </c>
      <c r="B146" s="393">
        <v>12089.6</v>
      </c>
      <c r="C146" s="393">
        <f t="shared" si="12"/>
        <v>23943.599610000001</v>
      </c>
      <c r="E146" s="151">
        <f t="shared" si="10"/>
        <v>-1.193815293228262E-3</v>
      </c>
      <c r="F146" s="151">
        <f t="shared" si="11"/>
        <v>-3.0976929802647435E-3</v>
      </c>
      <c r="N146" s="76">
        <v>14512.849609000001</v>
      </c>
    </row>
    <row r="147" spans="1:14">
      <c r="A147" s="394">
        <v>45476</v>
      </c>
      <c r="B147" s="393">
        <v>12123.65</v>
      </c>
      <c r="C147" s="393">
        <f t="shared" si="12"/>
        <v>24012.199218000002</v>
      </c>
      <c r="E147" s="151">
        <f t="shared" si="10"/>
        <v>2.8164703546849079E-3</v>
      </c>
      <c r="F147" s="151">
        <f t="shared" si="11"/>
        <v>2.8650499138547225E-3</v>
      </c>
      <c r="N147" s="76">
        <v>14466.799805000001</v>
      </c>
    </row>
    <row r="148" spans="1:14">
      <c r="A148" s="394">
        <v>45475</v>
      </c>
      <c r="B148" s="393">
        <v>12042.6</v>
      </c>
      <c r="C148" s="393">
        <f t="shared" si="12"/>
        <v>23685.400389999999</v>
      </c>
      <c r="E148" s="151">
        <f t="shared" si="10"/>
        <v>-6.685280422974893E-3</v>
      </c>
      <c r="F148" s="151">
        <f t="shared" si="11"/>
        <v>-1.3609700012609749E-2</v>
      </c>
      <c r="N148" s="76">
        <v>14564.25</v>
      </c>
    </row>
    <row r="149" spans="1:14">
      <c r="A149" s="394">
        <v>45474</v>
      </c>
      <c r="B149" s="393">
        <v>12108.65</v>
      </c>
      <c r="C149" s="393">
        <f t="shared" si="12"/>
        <v>23943.800781999998</v>
      </c>
      <c r="E149" s="151">
        <f t="shared" si="10"/>
        <v>5.4846959958811947E-3</v>
      </c>
      <c r="F149" s="151">
        <f t="shared" si="11"/>
        <v>1.0909690684777207E-2</v>
      </c>
      <c r="N149" s="76">
        <v>14510.950194999999</v>
      </c>
    </row>
    <row r="150" spans="1:14">
      <c r="A150" s="394">
        <v>45471</v>
      </c>
      <c r="B150" s="393">
        <v>12033.85</v>
      </c>
      <c r="C150" s="393">
        <f t="shared" si="12"/>
        <v>23638.099610000001</v>
      </c>
      <c r="E150" s="151">
        <f t="shared" si="10"/>
        <v>-6.1774021051066441E-3</v>
      </c>
      <c r="F150" s="151">
        <f t="shared" si="11"/>
        <v>-1.2767445518917397E-2</v>
      </c>
      <c r="N150" s="76">
        <v>14645.900390999999</v>
      </c>
    </row>
    <row r="151" spans="1:14">
      <c r="A151" s="394">
        <v>45470</v>
      </c>
      <c r="B151" s="393">
        <v>12178.75</v>
      </c>
      <c r="C151" s="393">
        <f t="shared" si="12"/>
        <v>23548.800781999998</v>
      </c>
      <c r="E151" s="151">
        <f t="shared" si="10"/>
        <v>1.2041034249221871E-2</v>
      </c>
      <c r="F151" s="151">
        <f t="shared" si="11"/>
        <v>-3.7777498814762778E-3</v>
      </c>
      <c r="N151" s="76">
        <v>14807.75</v>
      </c>
    </row>
    <row r="152" spans="1:14">
      <c r="A152" s="394">
        <v>45469</v>
      </c>
      <c r="B152" s="393">
        <v>12198.25</v>
      </c>
      <c r="C152" s="393">
        <f t="shared" si="12"/>
        <v>23497.900389999999</v>
      </c>
      <c r="E152" s="151">
        <f t="shared" si="10"/>
        <v>1.6011495432617373E-3</v>
      </c>
      <c r="F152" s="151">
        <f t="shared" si="11"/>
        <v>-2.1614855240911224E-3</v>
      </c>
      <c r="N152" s="76">
        <v>15004.650390999999</v>
      </c>
    </row>
    <row r="153" spans="1:14">
      <c r="A153" s="394">
        <v>45468</v>
      </c>
      <c r="B153" s="393">
        <v>12116.6</v>
      </c>
      <c r="C153" s="393">
        <f t="shared" si="12"/>
        <v>23555.699218000002</v>
      </c>
      <c r="E153" s="151">
        <f t="shared" si="10"/>
        <v>-6.6935830959358178E-3</v>
      </c>
      <c r="F153" s="151">
        <f t="shared" si="11"/>
        <v>2.4597443618665782E-3</v>
      </c>
      <c r="N153" s="76">
        <v>15029.950194999999</v>
      </c>
    </row>
    <row r="154" spans="1:14">
      <c r="A154" s="394">
        <v>45467</v>
      </c>
      <c r="B154" s="393">
        <v>12183.4</v>
      </c>
      <c r="C154" s="393">
        <f t="shared" si="12"/>
        <v>23826.699218000002</v>
      </c>
      <c r="E154" s="151">
        <f t="shared" si="10"/>
        <v>5.5130977336876885E-3</v>
      </c>
      <c r="F154" s="151">
        <f t="shared" si="11"/>
        <v>1.1504646815702069E-2</v>
      </c>
      <c r="N154" s="76">
        <v>14790.599609000001</v>
      </c>
    </row>
    <row r="155" spans="1:14">
      <c r="A155" s="394">
        <v>45464</v>
      </c>
      <c r="B155" s="393">
        <v>12201.5</v>
      </c>
      <c r="C155" s="393">
        <f t="shared" si="12"/>
        <v>24014.199218000002</v>
      </c>
      <c r="E155" s="151">
        <f t="shared" si="10"/>
        <v>1.4856279856199084E-3</v>
      </c>
      <c r="F155" s="151">
        <f t="shared" si="11"/>
        <v>7.8693233286108999E-3</v>
      </c>
      <c r="N155" s="76">
        <v>14811.200194999999</v>
      </c>
    </row>
    <row r="156" spans="1:14">
      <c r="A156" s="394">
        <v>45463</v>
      </c>
      <c r="B156" s="393">
        <v>12149.5</v>
      </c>
      <c r="C156" s="393">
        <f t="shared" si="12"/>
        <v>24435.800781999998</v>
      </c>
      <c r="E156" s="151">
        <f t="shared" si="10"/>
        <v>-4.2617710937179476E-3</v>
      </c>
      <c r="F156" s="151">
        <f t="shared" si="11"/>
        <v>1.755634490131075E-2</v>
      </c>
      <c r="N156" s="76">
        <v>14683.700194999999</v>
      </c>
    </row>
    <row r="157" spans="1:14">
      <c r="A157" s="394">
        <v>45462</v>
      </c>
      <c r="B157" s="393">
        <v>12242.1</v>
      </c>
      <c r="C157" s="393">
        <f t="shared" si="12"/>
        <v>24698.300781999998</v>
      </c>
      <c r="E157" s="151">
        <f t="shared" si="10"/>
        <v>7.6217128276883095E-3</v>
      </c>
      <c r="F157" s="151">
        <f t="shared" si="11"/>
        <v>1.074243493560334E-2</v>
      </c>
      <c r="N157" s="76">
        <v>14823.200194999999</v>
      </c>
    </row>
    <row r="158" spans="1:14">
      <c r="A158" s="394">
        <v>45461</v>
      </c>
      <c r="B158" s="393">
        <v>12560.95</v>
      </c>
      <c r="C158" s="393">
        <f t="shared" ref="C158:C188" si="13">N3*2</f>
        <v>23280.400389999999</v>
      </c>
      <c r="E158" s="151">
        <f t="shared" si="10"/>
        <v>2.6045368033262406E-2</v>
      </c>
      <c r="F158" s="151">
        <f t="shared" si="11"/>
        <v>-5.7408823567059231E-2</v>
      </c>
      <c r="N158" s="76">
        <v>14928.599609000001</v>
      </c>
    </row>
    <row r="159" spans="1:14">
      <c r="A159" s="394">
        <v>45457</v>
      </c>
      <c r="B159" s="393">
        <v>12845.2</v>
      </c>
      <c r="C159" s="393">
        <f t="shared" si="13"/>
        <v>22734.5</v>
      </c>
      <c r="E159" s="151">
        <f t="shared" si="10"/>
        <v>2.2629657788622692E-2</v>
      </c>
      <c r="F159" s="151">
        <f t="shared" si="11"/>
        <v>-2.3448926172012441E-2</v>
      </c>
      <c r="N159" s="76">
        <v>15021.650390999999</v>
      </c>
    </row>
    <row r="160" spans="1:14">
      <c r="A160" s="394">
        <v>45456</v>
      </c>
      <c r="B160" s="393">
        <v>12846.85</v>
      </c>
      <c r="C160" s="393">
        <f t="shared" si="13"/>
        <v>22529.099610000001</v>
      </c>
      <c r="E160" s="151">
        <f t="shared" si="10"/>
        <v>1.2845265157412911E-4</v>
      </c>
      <c r="F160" s="151">
        <f t="shared" si="11"/>
        <v>-9.0347441113725058E-3</v>
      </c>
      <c r="N160" s="76">
        <v>15146.650390999999</v>
      </c>
    </row>
    <row r="161" spans="1:14">
      <c r="A161" s="394">
        <v>45455</v>
      </c>
      <c r="B161" s="393">
        <v>12849.35</v>
      </c>
      <c r="C161" s="393">
        <f t="shared" si="13"/>
        <v>22483.199218000002</v>
      </c>
      <c r="E161" s="151">
        <f t="shared" si="10"/>
        <v>1.9460023274198157E-4</v>
      </c>
      <c r="F161" s="151">
        <f t="shared" si="11"/>
        <v>-2.0373824429106291E-3</v>
      </c>
      <c r="N161" s="76">
        <v>15071.400390999999</v>
      </c>
    </row>
    <row r="162" spans="1:14">
      <c r="A162" s="394">
        <v>45454</v>
      </c>
      <c r="B162" s="393">
        <v>12863.65</v>
      </c>
      <c r="C162" s="393">
        <f t="shared" si="13"/>
        <v>21844.5</v>
      </c>
      <c r="E162" s="151">
        <f t="shared" si="10"/>
        <v>1.1128967613147633E-3</v>
      </c>
      <c r="F162" s="151">
        <f t="shared" si="11"/>
        <v>-2.8407844088694456E-2</v>
      </c>
      <c r="N162" s="76">
        <v>14940</v>
      </c>
    </row>
    <row r="163" spans="1:14">
      <c r="A163" s="394">
        <v>45453</v>
      </c>
      <c r="B163" s="393">
        <v>12717.55</v>
      </c>
      <c r="C163" s="393">
        <f t="shared" si="13"/>
        <v>22352.599610000001</v>
      </c>
      <c r="E163" s="151">
        <f t="shared" si="10"/>
        <v>-1.1357585133301984E-2</v>
      </c>
      <c r="F163" s="151">
        <f t="shared" si="11"/>
        <v>2.3259841607727427E-2</v>
      </c>
      <c r="N163" s="76">
        <v>14893.200194999999</v>
      </c>
    </row>
    <row r="164" spans="1:14">
      <c r="A164" s="394">
        <v>45450</v>
      </c>
      <c r="B164" s="393">
        <v>12810.9</v>
      </c>
      <c r="C164" s="393">
        <f t="shared" si="13"/>
        <v>22730.5</v>
      </c>
      <c r="E164" s="151">
        <f t="shared" si="10"/>
        <v>7.3402502840562711E-3</v>
      </c>
      <c r="F164" s="151">
        <f t="shared" si="11"/>
        <v>1.6906328417878314E-2</v>
      </c>
      <c r="N164" s="76">
        <v>15134.150390999999</v>
      </c>
    </row>
    <row r="165" spans="1:14">
      <c r="A165" s="394">
        <v>45449</v>
      </c>
      <c r="B165" s="393">
        <v>12673.5</v>
      </c>
      <c r="C165" s="393">
        <f t="shared" si="13"/>
        <v>22707.300781999998</v>
      </c>
      <c r="E165" s="151">
        <f t="shared" si="10"/>
        <v>-1.0725241786291306E-2</v>
      </c>
      <c r="F165" s="151">
        <f t="shared" si="11"/>
        <v>-1.0206206638657678E-3</v>
      </c>
      <c r="N165" s="76">
        <v>15325</v>
      </c>
    </row>
    <row r="166" spans="1:14">
      <c r="A166" s="394">
        <v>45448</v>
      </c>
      <c r="B166" s="393">
        <v>12502.6</v>
      </c>
      <c r="C166" s="393">
        <f t="shared" si="13"/>
        <v>22770.400389999999</v>
      </c>
      <c r="E166" s="151">
        <f t="shared" si="10"/>
        <v>-1.3484830551939053E-2</v>
      </c>
      <c r="F166" s="151">
        <f t="shared" si="11"/>
        <v>2.7788246875215528E-3</v>
      </c>
      <c r="N166" s="76">
        <v>15272.549805000001</v>
      </c>
    </row>
    <row r="167" spans="1:14">
      <c r="A167" s="394">
        <v>45447</v>
      </c>
      <c r="B167" s="393">
        <v>12176.05</v>
      </c>
      <c r="C167" s="393">
        <f t="shared" si="13"/>
        <v>23091.800781999998</v>
      </c>
      <c r="E167" s="151">
        <f t="shared" si="10"/>
        <v>-2.6118567337993781E-2</v>
      </c>
      <c r="F167" s="151">
        <f t="shared" si="11"/>
        <v>1.4114832699259283E-2</v>
      </c>
      <c r="N167" s="76">
        <v>15164.450194999999</v>
      </c>
    </row>
    <row r="168" spans="1:14">
      <c r="A168" s="394">
        <v>45446</v>
      </c>
      <c r="B168" s="393">
        <v>12476.15</v>
      </c>
      <c r="C168" s="393">
        <f t="shared" si="13"/>
        <v>23251.199218000002</v>
      </c>
      <c r="E168" s="151">
        <f t="shared" si="10"/>
        <v>2.4646745044575313E-2</v>
      </c>
      <c r="F168" s="151">
        <f t="shared" si="11"/>
        <v>6.9028153111494461E-3</v>
      </c>
      <c r="N168" s="76">
        <v>15408.549805000001</v>
      </c>
    </row>
    <row r="169" spans="1:14">
      <c r="A169" s="394">
        <v>45443</v>
      </c>
      <c r="B169" s="393">
        <v>12399.3</v>
      </c>
      <c r="C169" s="393">
        <f t="shared" si="13"/>
        <v>23541.5</v>
      </c>
      <c r="E169" s="151">
        <f t="shared" si="10"/>
        <v>-6.159752808358343E-3</v>
      </c>
      <c r="F169" s="151">
        <f t="shared" si="11"/>
        <v>1.2485411151406778E-2</v>
      </c>
      <c r="N169" s="76">
        <v>15445.200194999999</v>
      </c>
    </row>
    <row r="170" spans="1:14">
      <c r="A170" s="394">
        <v>45442</v>
      </c>
      <c r="B170" s="393">
        <v>12598</v>
      </c>
      <c r="C170" s="393">
        <f t="shared" si="13"/>
        <v>23667.800781999998</v>
      </c>
      <c r="E170" s="151">
        <f t="shared" si="10"/>
        <v>1.6025098191027043E-2</v>
      </c>
      <c r="F170" s="151">
        <f t="shared" si="11"/>
        <v>5.3650269524030403E-3</v>
      </c>
      <c r="N170" s="76">
        <v>15445.599609000001</v>
      </c>
    </row>
    <row r="171" spans="1:14">
      <c r="A171" s="394">
        <v>45441</v>
      </c>
      <c r="B171" s="393">
        <v>12788.65</v>
      </c>
      <c r="C171" s="393">
        <f t="shared" si="13"/>
        <v>23850.800781999998</v>
      </c>
      <c r="E171" s="151">
        <f t="shared" si="10"/>
        <v>1.5133354500714402E-2</v>
      </c>
      <c r="F171" s="151">
        <f t="shared" si="11"/>
        <v>7.7320238447831091E-3</v>
      </c>
      <c r="N171" s="76">
        <v>15522.349609000001</v>
      </c>
    </row>
    <row r="172" spans="1:14">
      <c r="A172" s="394">
        <v>45440</v>
      </c>
      <c r="B172" s="393">
        <v>12818.6</v>
      </c>
      <c r="C172" s="393">
        <f t="shared" si="13"/>
        <v>23981.400389999999</v>
      </c>
      <c r="E172" s="151">
        <f t="shared" si="10"/>
        <v>2.3419203747072626E-3</v>
      </c>
      <c r="F172" s="151">
        <f t="shared" si="11"/>
        <v>5.475690698760971E-3</v>
      </c>
      <c r="N172" s="76">
        <v>15564.349609000001</v>
      </c>
    </row>
    <row r="173" spans="1:14">
      <c r="A173" s="394">
        <v>45439</v>
      </c>
      <c r="B173" s="393">
        <v>12906.1</v>
      </c>
      <c r="C173" s="393">
        <f t="shared" si="13"/>
        <v>23998.099610000001</v>
      </c>
      <c r="E173" s="151">
        <f t="shared" si="10"/>
        <v>6.8260184419515202E-3</v>
      </c>
      <c r="F173" s="151">
        <f t="shared" si="11"/>
        <v>6.9634048589439779E-4</v>
      </c>
      <c r="N173" s="76">
        <v>15650.349609000001</v>
      </c>
    </row>
    <row r="174" spans="1:14">
      <c r="A174" s="394">
        <v>45436</v>
      </c>
      <c r="B174" s="393">
        <v>13000.45</v>
      </c>
      <c r="C174" s="393">
        <f t="shared" si="13"/>
        <v>23991.400389999999</v>
      </c>
      <c r="E174" s="151">
        <f t="shared" si="10"/>
        <v>7.3104965868853178E-3</v>
      </c>
      <c r="F174" s="151">
        <f t="shared" si="11"/>
        <v>-2.7915627107455432E-4</v>
      </c>
      <c r="N174" s="76">
        <v>15798.700194999999</v>
      </c>
    </row>
    <row r="175" spans="1:14">
      <c r="A175" s="394">
        <v>45435</v>
      </c>
      <c r="B175" s="393">
        <v>12934.9</v>
      </c>
      <c r="C175" s="393">
        <f>N20*2</f>
        <v>24078.099610000001</v>
      </c>
      <c r="E175" s="151">
        <f t="shared" si="10"/>
        <v>-5.0421331569292516E-3</v>
      </c>
      <c r="F175" s="151">
        <f t="shared" si="11"/>
        <v>3.6137623727934276E-3</v>
      </c>
      <c r="N175" s="76">
        <v>15789.400390999999</v>
      </c>
    </row>
    <row r="176" spans="1:14">
      <c r="A176" s="394">
        <v>45434</v>
      </c>
      <c r="B176" s="393">
        <v>12531.35</v>
      </c>
      <c r="C176" s="393">
        <f>N21*2</f>
        <v>23516.400389999999</v>
      </c>
      <c r="E176" s="151">
        <f t="shared" si="10"/>
        <v>-3.1198540382994744E-2</v>
      </c>
      <c r="F176" s="151">
        <f t="shared" si="11"/>
        <v>-2.3328220627790719E-2</v>
      </c>
      <c r="N176" s="76">
        <v>15832.200194999999</v>
      </c>
    </row>
    <row r="177" spans="1:14">
      <c r="A177" s="394">
        <v>45433</v>
      </c>
      <c r="B177" s="393">
        <v>12473.3</v>
      </c>
      <c r="C177" s="393">
        <f t="shared" si="13"/>
        <v>23686.699218000002</v>
      </c>
      <c r="E177" s="151">
        <f t="shared" si="10"/>
        <v>-4.6323819859792614E-3</v>
      </c>
      <c r="F177" s="151">
        <f t="shared" si="11"/>
        <v>7.2417047326860384E-3</v>
      </c>
      <c r="N177" s="76">
        <v>15952.650390999999</v>
      </c>
    </row>
    <row r="178" spans="1:14">
      <c r="A178" s="394">
        <v>45430</v>
      </c>
      <c r="B178" s="393">
        <v>12600.15</v>
      </c>
      <c r="C178" s="393">
        <f t="shared" si="13"/>
        <v>23905.800781999998</v>
      </c>
      <c r="E178" s="151">
        <f t="shared" si="10"/>
        <v>1.0169722527318292E-2</v>
      </c>
      <c r="F178" s="151">
        <f t="shared" si="11"/>
        <v>9.2499829538721379E-3</v>
      </c>
      <c r="N178" s="76">
        <v>15945.849609000001</v>
      </c>
    </row>
    <row r="179" spans="1:14">
      <c r="A179" s="394">
        <v>45429</v>
      </c>
      <c r="B179" s="393">
        <v>12641.5</v>
      </c>
      <c r="C179" s="393">
        <f t="shared" si="13"/>
        <v>23953.699218000002</v>
      </c>
      <c r="E179" s="151">
        <f t="shared" si="10"/>
        <v>3.2817069638060303E-3</v>
      </c>
      <c r="F179" s="151">
        <f t="shared" si="11"/>
        <v>2.0036323583885185E-3</v>
      </c>
      <c r="N179" s="76">
        <v>16018.599609000001</v>
      </c>
    </row>
    <row r="180" spans="1:14">
      <c r="A180" s="394">
        <v>45428</v>
      </c>
      <c r="B180" s="393">
        <v>12497.65</v>
      </c>
      <c r="C180" s="393">
        <f t="shared" si="13"/>
        <v>24018</v>
      </c>
      <c r="E180" s="151">
        <f t="shared" si="10"/>
        <v>-1.1379187596408658E-2</v>
      </c>
      <c r="F180" s="151">
        <f t="shared" si="11"/>
        <v>2.6843779499277076E-3</v>
      </c>
      <c r="N180" s="76">
        <v>16017.200194999999</v>
      </c>
    </row>
    <row r="181" spans="1:14">
      <c r="A181" s="394">
        <v>45427</v>
      </c>
      <c r="B181" s="393">
        <v>12767.3</v>
      </c>
      <c r="C181" s="393">
        <f t="shared" si="13"/>
        <v>23943.599610000001</v>
      </c>
      <c r="E181" s="151">
        <f t="shared" si="10"/>
        <v>2.1576056298584056E-2</v>
      </c>
      <c r="F181" s="151">
        <f t="shared" si="11"/>
        <v>-3.0976929802647435E-3</v>
      </c>
      <c r="N181" s="76">
        <v>15904.75</v>
      </c>
    </row>
    <row r="182" spans="1:14">
      <c r="A182" s="394">
        <v>45426</v>
      </c>
      <c r="B182" s="393">
        <v>12814.2</v>
      </c>
      <c r="C182" s="393">
        <f t="shared" si="13"/>
        <v>24012.199218000002</v>
      </c>
      <c r="E182" s="151">
        <f t="shared" si="10"/>
        <v>3.6734470091563942E-3</v>
      </c>
      <c r="F182" s="151">
        <f t="shared" si="11"/>
        <v>2.8650499138547225E-3</v>
      </c>
      <c r="N182" s="76">
        <v>16021.5</v>
      </c>
    </row>
    <row r="183" spans="1:14">
      <c r="A183" s="394">
        <v>45425</v>
      </c>
      <c r="B183" s="393">
        <v>12673.85</v>
      </c>
      <c r="C183" s="393">
        <f t="shared" si="13"/>
        <v>23685.400389999999</v>
      </c>
      <c r="E183" s="151">
        <f t="shared" si="10"/>
        <v>-1.0952693106085487E-2</v>
      </c>
      <c r="F183" s="151">
        <f t="shared" si="11"/>
        <v>-1.3609700012609749E-2</v>
      </c>
      <c r="N183" s="76">
        <v>16079.599609000001</v>
      </c>
    </row>
    <row r="184" spans="1:14">
      <c r="A184" s="394">
        <v>45422</v>
      </c>
      <c r="B184" s="393">
        <v>12675.5</v>
      </c>
      <c r="C184" s="393">
        <f t="shared" si="13"/>
        <v>23943.800781999998</v>
      </c>
      <c r="E184" s="151">
        <f t="shared" si="10"/>
        <v>1.3018932684216722E-4</v>
      </c>
      <c r="F184" s="151">
        <f t="shared" si="11"/>
        <v>1.0909690684777207E-2</v>
      </c>
      <c r="N184" s="76">
        <v>16079.700194999999</v>
      </c>
    </row>
    <row r="185" spans="1:14">
      <c r="A185" s="394">
        <v>45421</v>
      </c>
      <c r="B185" s="393">
        <v>12504.65</v>
      </c>
      <c r="C185" s="393">
        <f t="shared" si="13"/>
        <v>23638.099610000001</v>
      </c>
      <c r="E185" s="151">
        <f t="shared" si="10"/>
        <v>-1.3478758234389154E-2</v>
      </c>
      <c r="F185" s="151">
        <f t="shared" si="11"/>
        <v>-1.2767445518917397E-2</v>
      </c>
      <c r="N185" s="76">
        <v>16136.650390999999</v>
      </c>
    </row>
    <row r="186" spans="1:14">
      <c r="A186" s="394">
        <v>45420</v>
      </c>
      <c r="B186" s="393">
        <v>12543.55</v>
      </c>
      <c r="C186" s="393">
        <f t="shared" si="13"/>
        <v>23548.800781999998</v>
      </c>
      <c r="E186" s="151">
        <f t="shared" si="10"/>
        <v>3.1108427664907623E-3</v>
      </c>
      <c r="F186" s="151">
        <f t="shared" si="11"/>
        <v>-3.7777498814762778E-3</v>
      </c>
      <c r="N186" s="76">
        <v>16025.549805000001</v>
      </c>
    </row>
    <row r="187" spans="1:14">
      <c r="A187" s="394">
        <v>45419</v>
      </c>
      <c r="B187" s="393">
        <v>12364.05</v>
      </c>
      <c r="C187" s="393">
        <f t="shared" si="13"/>
        <v>23497.900389999999</v>
      </c>
      <c r="E187" s="151">
        <f t="shared" si="10"/>
        <v>-1.4310143460184666E-2</v>
      </c>
      <c r="F187" s="151">
        <f t="shared" si="11"/>
        <v>-2.1614855240911224E-3</v>
      </c>
      <c r="N187" s="76">
        <v>15936.200194999999</v>
      </c>
    </row>
    <row r="188" spans="1:14">
      <c r="A188" s="394">
        <v>45418</v>
      </c>
      <c r="B188" s="393">
        <v>12439.3</v>
      </c>
      <c r="C188" s="393">
        <f t="shared" si="13"/>
        <v>23555.699218000002</v>
      </c>
      <c r="E188" s="151">
        <f t="shared" si="10"/>
        <v>6.0861934398517281E-3</v>
      </c>
      <c r="F188" s="151">
        <f t="shared" si="11"/>
        <v>2.4597443618665782E-3</v>
      </c>
      <c r="N188" s="76">
        <v>15915.549805000001</v>
      </c>
    </row>
    <row r="189" spans="1:14">
      <c r="A189" s="394">
        <v>45415</v>
      </c>
      <c r="B189" s="393">
        <v>12492.15</v>
      </c>
      <c r="C189" s="393">
        <f>N4*2</f>
        <v>22734.5</v>
      </c>
      <c r="E189" s="151">
        <f t="shared" si="10"/>
        <v>4.2486313538543374E-3</v>
      </c>
      <c r="F189" s="151">
        <f t="shared" si="11"/>
        <v>-3.4862018333655986E-2</v>
      </c>
      <c r="N189" s="76">
        <v>15991.25</v>
      </c>
    </row>
    <row r="190" spans="1:14">
      <c r="A190" s="394">
        <v>45414</v>
      </c>
      <c r="B190" s="393">
        <v>12805.35</v>
      </c>
      <c r="C190" s="393">
        <f t="shared" ref="C190:C196" si="14">N5*2</f>
        <v>22529.099610000001</v>
      </c>
      <c r="E190" s="151">
        <f t="shared" si="10"/>
        <v>2.5071745055895267E-2</v>
      </c>
      <c r="F190" s="151">
        <f t="shared" si="11"/>
        <v>-9.0347441113725058E-3</v>
      </c>
      <c r="N190" s="76">
        <v>16026.950194999999</v>
      </c>
    </row>
    <row r="191" spans="1:14">
      <c r="A191" s="394">
        <v>45412</v>
      </c>
      <c r="B191" s="393">
        <v>12817.5</v>
      </c>
      <c r="C191" s="393">
        <f t="shared" si="14"/>
        <v>22483.199218000002</v>
      </c>
      <c r="E191" s="151">
        <f t="shared" si="10"/>
        <v>9.4882217198266616E-4</v>
      </c>
      <c r="F191" s="151">
        <f t="shared" si="11"/>
        <v>-2.0373824429106291E-3</v>
      </c>
      <c r="N191" s="76">
        <v>15933.150390999999</v>
      </c>
    </row>
    <row r="192" spans="1:14">
      <c r="A192" s="394">
        <v>45411</v>
      </c>
      <c r="B192" s="393">
        <v>12689.85</v>
      </c>
      <c r="C192" s="393">
        <f t="shared" si="14"/>
        <v>21844.5</v>
      </c>
      <c r="E192" s="151">
        <f t="shared" si="10"/>
        <v>-9.9590403744880263E-3</v>
      </c>
      <c r="F192" s="151">
        <f t="shared" si="11"/>
        <v>-2.8407844088694456E-2</v>
      </c>
      <c r="N192" s="76">
        <v>16011.549805000001</v>
      </c>
    </row>
    <row r="193" spans="1:14">
      <c r="A193" s="394">
        <v>45408</v>
      </c>
      <c r="B193" s="393">
        <v>12703.35</v>
      </c>
      <c r="C193" s="393">
        <f t="shared" si="14"/>
        <v>22352.599610000001</v>
      </c>
      <c r="E193" s="151">
        <f t="shared" si="10"/>
        <v>1.0638423622029158E-3</v>
      </c>
      <c r="F193" s="151">
        <f t="shared" si="11"/>
        <v>2.3259841607727427E-2</v>
      </c>
      <c r="N193" s="76">
        <v>16087.200194999999</v>
      </c>
    </row>
    <row r="194" spans="1:14">
      <c r="A194" s="394">
        <v>45407</v>
      </c>
      <c r="B194" s="393">
        <v>12922.5</v>
      </c>
      <c r="C194" s="393">
        <f t="shared" si="14"/>
        <v>22730.5</v>
      </c>
      <c r="E194" s="151">
        <f t="shared" si="10"/>
        <v>1.7251354957550591E-2</v>
      </c>
      <c r="F194" s="151">
        <f t="shared" si="11"/>
        <v>1.6906328417878314E-2</v>
      </c>
      <c r="N194" s="76">
        <v>16055.200194999999</v>
      </c>
    </row>
    <row r="195" spans="1:14">
      <c r="A195" s="394">
        <v>45406</v>
      </c>
      <c r="B195" s="393">
        <v>12944.05</v>
      </c>
      <c r="C195" s="393">
        <f t="shared" si="14"/>
        <v>22707.300781999998</v>
      </c>
      <c r="E195" s="151">
        <f t="shared" si="10"/>
        <v>1.6676339717547339E-3</v>
      </c>
      <c r="F195" s="151">
        <f t="shared" si="11"/>
        <v>-1.0206206638657678E-3</v>
      </c>
      <c r="N195" s="76">
        <v>15992.099609000001</v>
      </c>
    </row>
    <row r="196" spans="1:14">
      <c r="A196" s="394">
        <v>45405</v>
      </c>
      <c r="B196" s="393">
        <v>12996.25</v>
      </c>
      <c r="C196" s="393">
        <f t="shared" si="14"/>
        <v>22770.400389999999</v>
      </c>
      <c r="E196" s="151">
        <f t="shared" ref="E196:E251" si="15">B196/B195-1</f>
        <v>4.0327409118476876E-3</v>
      </c>
      <c r="F196" s="151">
        <f t="shared" ref="F196:F251" si="16">C196/C195-1</f>
        <v>2.7788246875215528E-3</v>
      </c>
      <c r="N196" s="76">
        <v>15959.400390999999</v>
      </c>
    </row>
    <row r="197" spans="1:14">
      <c r="A197" s="394">
        <v>45404</v>
      </c>
      <c r="B197" s="393">
        <v>12785.5</v>
      </c>
      <c r="C197" s="393">
        <f>N2*2</f>
        <v>23292.300781999998</v>
      </c>
      <c r="E197" s="151">
        <f t="shared" si="15"/>
        <v>-1.6216216216216162E-2</v>
      </c>
      <c r="F197" s="151">
        <f t="shared" si="16"/>
        <v>2.2920123628094036E-2</v>
      </c>
      <c r="N197" s="76">
        <v>15928.099609000001</v>
      </c>
    </row>
    <row r="198" spans="1:14">
      <c r="A198" s="394">
        <v>45401</v>
      </c>
      <c r="B198" s="393">
        <v>12710.95</v>
      </c>
      <c r="C198" s="393">
        <f t="shared" ref="C198:C206" si="17">N3*2</f>
        <v>23280.400389999999</v>
      </c>
      <c r="E198" s="151">
        <f t="shared" si="15"/>
        <v>-5.8308239802901118E-3</v>
      </c>
      <c r="F198" s="151">
        <f t="shared" si="16"/>
        <v>-5.1091526386248809E-4</v>
      </c>
      <c r="N198" s="76">
        <v>15957.099609000001</v>
      </c>
    </row>
    <row r="199" spans="1:14">
      <c r="A199" s="394">
        <v>45400</v>
      </c>
      <c r="B199" s="393">
        <v>12405</v>
      </c>
      <c r="C199" s="393">
        <f t="shared" si="17"/>
        <v>22734.5</v>
      </c>
      <c r="E199" s="151">
        <f t="shared" si="15"/>
        <v>-2.406979808747578E-2</v>
      </c>
      <c r="F199" s="151">
        <f t="shared" si="16"/>
        <v>-2.3448926172012441E-2</v>
      </c>
      <c r="N199" s="76">
        <v>16066.900390999999</v>
      </c>
    </row>
    <row r="200" spans="1:14">
      <c r="A200" s="394">
        <v>45398</v>
      </c>
      <c r="B200" s="393">
        <v>12502.7</v>
      </c>
      <c r="C200" s="393">
        <f t="shared" si="17"/>
        <v>22529.099610000001</v>
      </c>
      <c r="E200" s="151">
        <f t="shared" si="15"/>
        <v>7.87585650947209E-3</v>
      </c>
      <c r="F200" s="151">
        <f t="shared" si="16"/>
        <v>-9.0347441113725058E-3</v>
      </c>
      <c r="N200" s="76">
        <v>16054.900390999999</v>
      </c>
    </row>
    <row r="201" spans="1:14">
      <c r="A201" s="394">
        <v>45397</v>
      </c>
      <c r="B201" s="393">
        <v>12422.85</v>
      </c>
      <c r="C201" s="393">
        <f t="shared" si="17"/>
        <v>22483.199218000002</v>
      </c>
      <c r="E201" s="151">
        <f t="shared" si="15"/>
        <v>-6.3866204899741819E-3</v>
      </c>
      <c r="F201" s="151">
        <f t="shared" si="16"/>
        <v>-2.0373824429106291E-3</v>
      </c>
      <c r="N201" s="76">
        <v>16117.400390999999</v>
      </c>
    </row>
    <row r="202" spans="1:14">
      <c r="A202" s="394">
        <v>45394</v>
      </c>
      <c r="B202" s="393">
        <v>12266.55</v>
      </c>
      <c r="C202" s="393">
        <f t="shared" si="17"/>
        <v>21844.5</v>
      </c>
      <c r="E202" s="151">
        <f t="shared" si="15"/>
        <v>-1.2581653968292361E-2</v>
      </c>
      <c r="F202" s="151">
        <f t="shared" si="16"/>
        <v>-2.8407844088694456E-2</v>
      </c>
      <c r="N202" s="76">
        <v>15981.950194999999</v>
      </c>
    </row>
    <row r="203" spans="1:14">
      <c r="A203" s="394">
        <v>45392</v>
      </c>
      <c r="B203" s="393">
        <v>12682.75</v>
      </c>
      <c r="C203" s="393">
        <f t="shared" si="17"/>
        <v>22352.599610000001</v>
      </c>
      <c r="E203" s="151">
        <f t="shared" si="15"/>
        <v>3.3929670526757771E-2</v>
      </c>
      <c r="F203" s="151">
        <f t="shared" si="16"/>
        <v>2.3259841607727427E-2</v>
      </c>
      <c r="N203" s="76">
        <v>15952.400390999999</v>
      </c>
    </row>
    <row r="204" spans="1:14">
      <c r="A204" s="394">
        <v>45391</v>
      </c>
      <c r="B204" s="393">
        <v>12888</v>
      </c>
      <c r="C204" s="393">
        <f t="shared" si="17"/>
        <v>22730.5</v>
      </c>
      <c r="E204" s="151">
        <f t="shared" si="15"/>
        <v>1.6183398710847507E-2</v>
      </c>
      <c r="F204" s="151">
        <f t="shared" si="16"/>
        <v>1.6906328417878314E-2</v>
      </c>
      <c r="N204" s="76">
        <v>15955.950194999999</v>
      </c>
    </row>
    <row r="205" spans="1:14">
      <c r="A205" s="394">
        <v>45390</v>
      </c>
      <c r="B205" s="393">
        <v>12865.1</v>
      </c>
      <c r="C205" s="393">
        <f t="shared" si="17"/>
        <v>22707.300781999998</v>
      </c>
      <c r="E205" s="151">
        <f t="shared" si="15"/>
        <v>-1.7768466790812898E-3</v>
      </c>
      <c r="F205" s="151">
        <f t="shared" si="16"/>
        <v>-1.0206206638657678E-3</v>
      </c>
      <c r="N205" s="76">
        <v>16055.599609000001</v>
      </c>
    </row>
    <row r="206" spans="1:14">
      <c r="A206" s="394">
        <v>45387</v>
      </c>
      <c r="B206" s="393">
        <v>12421.6</v>
      </c>
      <c r="C206" s="393">
        <f t="shared" si="17"/>
        <v>22770.400389999999</v>
      </c>
      <c r="E206" s="151">
        <f t="shared" si="15"/>
        <v>-3.4473109420058878E-2</v>
      </c>
      <c r="F206" s="151">
        <f t="shared" si="16"/>
        <v>2.7788246875215528E-3</v>
      </c>
      <c r="N206" s="76">
        <v>16091.5</v>
      </c>
    </row>
    <row r="207" spans="1:14">
      <c r="A207" s="394">
        <v>45386</v>
      </c>
      <c r="B207" s="393">
        <v>12567.25</v>
      </c>
      <c r="C207" s="393">
        <f>N6*2</f>
        <v>22483.199218000002</v>
      </c>
      <c r="E207" s="151">
        <f t="shared" si="15"/>
        <v>1.172554260320724E-2</v>
      </c>
      <c r="F207" s="151">
        <f t="shared" si="16"/>
        <v>-1.261291708011103E-2</v>
      </c>
      <c r="N207" s="76">
        <v>16160.200194999999</v>
      </c>
    </row>
    <row r="208" spans="1:14">
      <c r="A208" s="394">
        <v>45385</v>
      </c>
      <c r="B208" s="393">
        <v>12427.85</v>
      </c>
      <c r="C208" s="393">
        <f t="shared" ref="C208:C218" si="18">N7*2</f>
        <v>21844.5</v>
      </c>
      <c r="E208" s="151">
        <f t="shared" si="15"/>
        <v>-1.109232330064247E-2</v>
      </c>
      <c r="F208" s="151">
        <f t="shared" si="16"/>
        <v>-2.8407844088694456E-2</v>
      </c>
      <c r="N208" s="76">
        <v>16172.049805000001</v>
      </c>
    </row>
    <row r="209" spans="1:14">
      <c r="A209" s="394">
        <v>45384</v>
      </c>
      <c r="B209" s="393">
        <v>12552.45</v>
      </c>
      <c r="C209" s="393">
        <f t="shared" si="18"/>
        <v>22352.599610000001</v>
      </c>
      <c r="E209" s="151">
        <f t="shared" si="15"/>
        <v>1.0025869317701774E-2</v>
      </c>
      <c r="F209" s="151">
        <f t="shared" si="16"/>
        <v>2.3259841607727427E-2</v>
      </c>
      <c r="N209" s="76">
        <v>16006.900390999999</v>
      </c>
    </row>
    <row r="210" spans="1:14">
      <c r="A210" s="394">
        <v>45383</v>
      </c>
      <c r="B210" s="393">
        <v>12569.6</v>
      </c>
      <c r="C210" s="393">
        <f t="shared" si="18"/>
        <v>22730.5</v>
      </c>
      <c r="E210" s="151">
        <f t="shared" si="15"/>
        <v>1.3662671430676454E-3</v>
      </c>
      <c r="F210" s="151">
        <f t="shared" si="16"/>
        <v>1.6906328417878314E-2</v>
      </c>
      <c r="N210" s="76">
        <v>15886.25</v>
      </c>
    </row>
    <row r="211" spans="1:14">
      <c r="A211" s="394">
        <v>45379</v>
      </c>
      <c r="B211" s="393">
        <v>12600.35</v>
      </c>
      <c r="C211" s="393">
        <f t="shared" si="18"/>
        <v>22707.300781999998</v>
      </c>
      <c r="E211" s="151">
        <f t="shared" si="15"/>
        <v>2.4463785641548608E-3</v>
      </c>
      <c r="F211" s="151">
        <f t="shared" si="16"/>
        <v>-1.0206206638657678E-3</v>
      </c>
      <c r="N211" s="76">
        <v>16094.25</v>
      </c>
    </row>
    <row r="212" spans="1:14">
      <c r="A212" s="394">
        <v>45378</v>
      </c>
      <c r="B212" s="393">
        <v>12510.35</v>
      </c>
      <c r="C212" s="393">
        <f t="shared" si="18"/>
        <v>22770.400389999999</v>
      </c>
      <c r="E212" s="151">
        <f t="shared" si="15"/>
        <v>-7.1426587356699933E-3</v>
      </c>
      <c r="F212" s="151">
        <f t="shared" si="16"/>
        <v>2.7788246875215528E-3</v>
      </c>
      <c r="N212" s="76">
        <v>16119.099609000001</v>
      </c>
    </row>
    <row r="213" spans="1:14">
      <c r="A213" s="394">
        <v>45377</v>
      </c>
      <c r="B213" s="393">
        <v>12250.55</v>
      </c>
      <c r="C213" s="393">
        <f t="shared" si="18"/>
        <v>23091.800781999998</v>
      </c>
      <c r="E213" s="151">
        <f t="shared" si="15"/>
        <v>-2.0766805085389417E-2</v>
      </c>
      <c r="F213" s="151">
        <f t="shared" si="16"/>
        <v>1.4114832699259283E-2</v>
      </c>
      <c r="N213" s="76">
        <v>16094.200194999999</v>
      </c>
    </row>
    <row r="214" spans="1:14">
      <c r="A214" s="394">
        <v>45373</v>
      </c>
      <c r="B214" s="393">
        <v>12337.7</v>
      </c>
      <c r="C214" s="393">
        <f t="shared" si="18"/>
        <v>23251.199218000002</v>
      </c>
      <c r="E214" s="151">
        <f t="shared" si="15"/>
        <v>7.1139663117167906E-3</v>
      </c>
      <c r="F214" s="151">
        <f t="shared" si="16"/>
        <v>6.9028153111494461E-3</v>
      </c>
      <c r="N214" s="76">
        <v>16011.049805000001</v>
      </c>
    </row>
    <row r="215" spans="1:14">
      <c r="A215" s="394">
        <v>45372</v>
      </c>
      <c r="B215" s="393">
        <v>11908.15</v>
      </c>
      <c r="C215" s="393">
        <f t="shared" si="18"/>
        <v>23541.5</v>
      </c>
      <c r="E215" s="151">
        <f t="shared" si="15"/>
        <v>-3.481605161415835E-2</v>
      </c>
      <c r="F215" s="151">
        <f t="shared" si="16"/>
        <v>1.2485411151406778E-2</v>
      </c>
      <c r="N215" s="76">
        <v>15983.900390999999</v>
      </c>
    </row>
    <row r="216" spans="1:14">
      <c r="A216" s="394">
        <v>45371</v>
      </c>
      <c r="B216" s="393">
        <v>11941.15</v>
      </c>
      <c r="C216" s="393">
        <f t="shared" si="18"/>
        <v>23667.800781999998</v>
      </c>
      <c r="E216" s="151">
        <f t="shared" si="15"/>
        <v>2.7712113132603022E-3</v>
      </c>
      <c r="F216" s="151">
        <f t="shared" si="16"/>
        <v>5.3650269524030403E-3</v>
      </c>
      <c r="N216" s="76">
        <v>16045.200194999999</v>
      </c>
    </row>
    <row r="217" spans="1:14">
      <c r="A217" s="394">
        <v>45370</v>
      </c>
      <c r="B217" s="393">
        <v>11597.05</v>
      </c>
      <c r="C217" s="393">
        <f t="shared" si="18"/>
        <v>23850.800781999998</v>
      </c>
      <c r="E217" s="151">
        <f t="shared" si="15"/>
        <v>-2.8816320036177401E-2</v>
      </c>
      <c r="F217" s="151">
        <f t="shared" si="16"/>
        <v>7.7320238447831091E-3</v>
      </c>
      <c r="N217" s="76">
        <v>16040.150390999999</v>
      </c>
    </row>
    <row r="218" spans="1:14">
      <c r="A218" s="394">
        <v>45369</v>
      </c>
      <c r="B218" s="393">
        <v>11636.3</v>
      </c>
      <c r="C218" s="393">
        <f t="shared" si="18"/>
        <v>23981.400389999999</v>
      </c>
      <c r="E218" s="151">
        <f t="shared" si="15"/>
        <v>3.3844813982866206E-3</v>
      </c>
      <c r="F218" s="151">
        <f t="shared" si="16"/>
        <v>5.475690698760971E-3</v>
      </c>
      <c r="N218" s="76">
        <v>16166.950194999999</v>
      </c>
    </row>
    <row r="219" spans="1:14">
      <c r="A219" s="394">
        <v>45366</v>
      </c>
      <c r="B219" s="393">
        <v>11476.65</v>
      </c>
      <c r="C219" s="393">
        <f>N28*2</f>
        <v>23685.400389999999</v>
      </c>
      <c r="E219" s="151">
        <f t="shared" si="15"/>
        <v>-1.3719996906233045E-2</v>
      </c>
      <c r="F219" s="151">
        <f t="shared" si="16"/>
        <v>-1.2342898879392772E-2</v>
      </c>
      <c r="N219" s="76">
        <v>16399.949218999998</v>
      </c>
    </row>
    <row r="220" spans="1:14">
      <c r="A220" s="394">
        <v>45365</v>
      </c>
      <c r="B220" s="393">
        <v>11404.6</v>
      </c>
      <c r="C220" s="393">
        <f>N29*2</f>
        <v>23943.800781999998</v>
      </c>
      <c r="E220" s="151">
        <f t="shared" si="15"/>
        <v>-6.2779643885627623E-3</v>
      </c>
      <c r="F220" s="151">
        <f t="shared" si="16"/>
        <v>1.0909690684777207E-2</v>
      </c>
      <c r="N220" s="76">
        <v>16494.550781000002</v>
      </c>
    </row>
    <row r="221" spans="1:14">
      <c r="A221" s="394">
        <v>45364</v>
      </c>
      <c r="B221" s="393">
        <v>11390.15</v>
      </c>
      <c r="C221" s="393">
        <f>N30*2</f>
        <v>23638.099610000001</v>
      </c>
      <c r="E221" s="151">
        <f t="shared" si="15"/>
        <v>-1.2670326008804578E-3</v>
      </c>
      <c r="F221" s="151">
        <f t="shared" si="16"/>
        <v>-1.2767445518917397E-2</v>
      </c>
      <c r="N221" s="76">
        <v>16520.5</v>
      </c>
    </row>
    <row r="222" spans="1:14">
      <c r="A222" s="394">
        <v>45363</v>
      </c>
      <c r="B222" s="393">
        <v>11509.9</v>
      </c>
      <c r="C222" s="393">
        <f>N31*2</f>
        <v>23548.800781999998</v>
      </c>
      <c r="E222" s="151">
        <f t="shared" si="15"/>
        <v>1.0513469971861644E-2</v>
      </c>
      <c r="F222" s="151">
        <f t="shared" si="16"/>
        <v>-3.7777498814762778E-3</v>
      </c>
      <c r="N222" s="76">
        <v>16476.550781000002</v>
      </c>
    </row>
    <row r="223" spans="1:14">
      <c r="A223" s="394">
        <v>45362</v>
      </c>
      <c r="B223" s="393">
        <v>11395.55</v>
      </c>
      <c r="C223" s="393">
        <f t="shared" ref="C223:C234" si="19">N2*2</f>
        <v>23292.300781999998</v>
      </c>
      <c r="E223" s="151">
        <f t="shared" si="15"/>
        <v>-9.934925585800114E-3</v>
      </c>
      <c r="F223" s="151">
        <f t="shared" si="16"/>
        <v>-1.0892274403886404E-2</v>
      </c>
      <c r="N223" s="76">
        <v>16483.449218999998</v>
      </c>
    </row>
    <row r="224" spans="1:14">
      <c r="A224" s="394">
        <v>45358</v>
      </c>
      <c r="B224" s="393">
        <v>11510.05</v>
      </c>
      <c r="C224" s="393">
        <f t="shared" si="19"/>
        <v>23280.400389999999</v>
      </c>
      <c r="E224" s="151">
        <f t="shared" si="15"/>
        <v>1.0047781809566114E-2</v>
      </c>
      <c r="F224" s="151">
        <f t="shared" si="16"/>
        <v>-5.1091526386248809E-4</v>
      </c>
      <c r="N224" s="76">
        <v>16493.849609000001</v>
      </c>
    </row>
    <row r="225" spans="1:14">
      <c r="A225" s="394">
        <v>45357</v>
      </c>
      <c r="B225" s="393">
        <v>11567.05</v>
      </c>
      <c r="C225" s="393">
        <f t="shared" si="19"/>
        <v>22734.5</v>
      </c>
      <c r="E225" s="151">
        <f t="shared" si="15"/>
        <v>4.952193952241668E-3</v>
      </c>
      <c r="F225" s="151">
        <f t="shared" si="16"/>
        <v>-2.3448926172012441E-2</v>
      </c>
      <c r="N225" s="76">
        <v>16490.150390999999</v>
      </c>
    </row>
    <row r="226" spans="1:14">
      <c r="A226" s="394">
        <v>45356</v>
      </c>
      <c r="B226" s="393">
        <v>11670.6</v>
      </c>
      <c r="C226" s="393">
        <f t="shared" si="19"/>
        <v>22529.099610000001</v>
      </c>
      <c r="E226" s="151">
        <f t="shared" si="15"/>
        <v>8.9521528825413643E-3</v>
      </c>
      <c r="F226" s="151">
        <f t="shared" si="16"/>
        <v>-9.0347441113725058E-3</v>
      </c>
      <c r="N226" s="76">
        <v>16569.300781000002</v>
      </c>
    </row>
    <row r="227" spans="1:14">
      <c r="A227" s="394">
        <v>45355</v>
      </c>
      <c r="B227" s="393">
        <v>11594.15</v>
      </c>
      <c r="C227" s="393">
        <f t="shared" si="19"/>
        <v>22483.199218000002</v>
      </c>
      <c r="E227" s="151">
        <f t="shared" si="15"/>
        <v>-6.5506486384591112E-3</v>
      </c>
      <c r="F227" s="151">
        <f t="shared" si="16"/>
        <v>-2.0373824429106291E-3</v>
      </c>
      <c r="N227" s="76">
        <v>16716.150390999999</v>
      </c>
    </row>
    <row r="228" spans="1:14">
      <c r="A228" s="394">
        <v>45353</v>
      </c>
      <c r="B228" s="393">
        <v>11567.2</v>
      </c>
      <c r="C228" s="393">
        <f t="shared" si="19"/>
        <v>21844.5</v>
      </c>
      <c r="E228" s="151">
        <f t="shared" si="15"/>
        <v>-2.3244481052944188E-3</v>
      </c>
      <c r="F228" s="151">
        <f t="shared" si="16"/>
        <v>-2.8407844088694456E-2</v>
      </c>
      <c r="N228" s="76">
        <v>16748</v>
      </c>
    </row>
    <row r="229" spans="1:14">
      <c r="A229" s="394">
        <v>45352</v>
      </c>
      <c r="B229" s="393">
        <v>11620.95</v>
      </c>
      <c r="C229" s="393">
        <f t="shared" si="19"/>
        <v>22352.599610000001</v>
      </c>
      <c r="E229" s="151">
        <f t="shared" si="15"/>
        <v>4.6467598035826452E-3</v>
      </c>
      <c r="F229" s="151">
        <f t="shared" si="16"/>
        <v>2.3259841607727427E-2</v>
      </c>
      <c r="N229" s="76">
        <v>16805.150390999999</v>
      </c>
    </row>
    <row r="230" spans="1:14">
      <c r="A230" s="394">
        <v>45351</v>
      </c>
      <c r="B230" s="393">
        <v>11288.35</v>
      </c>
      <c r="C230" s="393">
        <f t="shared" si="19"/>
        <v>22730.5</v>
      </c>
      <c r="E230" s="151">
        <f t="shared" si="15"/>
        <v>-2.8620723779037016E-2</v>
      </c>
      <c r="F230" s="151">
        <f t="shared" si="16"/>
        <v>1.6906328417878314E-2</v>
      </c>
      <c r="N230" s="76">
        <v>16778.800781000002</v>
      </c>
    </row>
    <row r="231" spans="1:14">
      <c r="A231" s="394">
        <v>45350</v>
      </c>
      <c r="B231" s="393">
        <v>11152.8</v>
      </c>
      <c r="C231" s="393">
        <f t="shared" si="19"/>
        <v>22707.300781999998</v>
      </c>
      <c r="E231" s="151">
        <f t="shared" si="15"/>
        <v>-1.2007955104156198E-2</v>
      </c>
      <c r="F231" s="151">
        <f t="shared" si="16"/>
        <v>-1.0206206638657678E-3</v>
      </c>
      <c r="N231" s="76">
        <v>16642.150390999999</v>
      </c>
    </row>
    <row r="232" spans="1:14">
      <c r="A232" s="394">
        <v>45349</v>
      </c>
      <c r="B232" s="393">
        <v>11500.65</v>
      </c>
      <c r="C232" s="393">
        <f t="shared" si="19"/>
        <v>22770.400389999999</v>
      </c>
      <c r="E232" s="151">
        <f t="shared" si="15"/>
        <v>3.1189477081988493E-2</v>
      </c>
      <c r="F232" s="151">
        <f t="shared" si="16"/>
        <v>2.7788246875215528E-3</v>
      </c>
      <c r="N232" s="76">
        <v>16673.349609000001</v>
      </c>
    </row>
    <row r="233" spans="1:14">
      <c r="A233" s="394">
        <v>45348</v>
      </c>
      <c r="B233" s="393">
        <v>11467</v>
      </c>
      <c r="C233" s="393">
        <f t="shared" si="19"/>
        <v>23091.800781999998</v>
      </c>
      <c r="E233" s="151">
        <f t="shared" si="15"/>
        <v>-2.9259215783455916E-3</v>
      </c>
      <c r="F233" s="151">
        <f t="shared" si="16"/>
        <v>1.4114832699259283E-2</v>
      </c>
      <c r="N233" s="76">
        <v>16808</v>
      </c>
    </row>
    <row r="234" spans="1:14">
      <c r="A234" s="394">
        <v>45345</v>
      </c>
      <c r="B234" s="393">
        <v>11535.6</v>
      </c>
      <c r="C234" s="393">
        <f t="shared" si="19"/>
        <v>23251.199218000002</v>
      </c>
      <c r="E234" s="151">
        <f t="shared" si="15"/>
        <v>5.9823842330164467E-3</v>
      </c>
      <c r="F234" s="151">
        <f t="shared" si="16"/>
        <v>6.9028153111494461E-3</v>
      </c>
      <c r="N234" s="76">
        <v>16830.099609000001</v>
      </c>
    </row>
    <row r="235" spans="1:14">
      <c r="A235" s="394">
        <v>45344</v>
      </c>
      <c r="B235" s="393">
        <v>11657.8</v>
      </c>
      <c r="C235" s="393">
        <f>N2*2</f>
        <v>23292.300781999998</v>
      </c>
      <c r="E235" s="151">
        <f t="shared" si="15"/>
        <v>1.0593293803529802E-2</v>
      </c>
      <c r="F235" s="151">
        <f t="shared" si="16"/>
        <v>1.7677180266977288E-3</v>
      </c>
      <c r="N235" s="76">
        <v>16841.599609000001</v>
      </c>
    </row>
    <row r="236" spans="1:14">
      <c r="A236" s="394">
        <v>45343</v>
      </c>
      <c r="B236" s="393">
        <v>11465.85</v>
      </c>
      <c r="C236" s="393">
        <f t="shared" ref="C236:C246" si="20">N3*2</f>
        <v>23280.400389999999</v>
      </c>
      <c r="E236" s="151">
        <f t="shared" si="15"/>
        <v>-1.64653708246838E-2</v>
      </c>
      <c r="F236" s="151">
        <f t="shared" si="16"/>
        <v>-5.1091526386248809E-4</v>
      </c>
      <c r="N236" s="76">
        <v>16930.849609000001</v>
      </c>
    </row>
    <row r="237" spans="1:14">
      <c r="A237" s="394">
        <v>45342</v>
      </c>
      <c r="B237" s="393">
        <v>11446.45</v>
      </c>
      <c r="C237" s="393">
        <f t="shared" si="20"/>
        <v>22734.5</v>
      </c>
      <c r="E237" s="151">
        <f t="shared" si="15"/>
        <v>-1.6919809695747912E-3</v>
      </c>
      <c r="F237" s="151">
        <f t="shared" si="16"/>
        <v>-2.3448926172012441E-2</v>
      </c>
      <c r="N237" s="76">
        <v>17164.199218999998</v>
      </c>
    </row>
    <row r="238" spans="1:14">
      <c r="A238" s="394">
        <v>45341</v>
      </c>
      <c r="B238" s="393">
        <v>11483.35</v>
      </c>
      <c r="C238" s="393">
        <f t="shared" si="20"/>
        <v>22529.099610000001</v>
      </c>
      <c r="E238" s="151">
        <f t="shared" si="15"/>
        <v>3.2237069134972707E-3</v>
      </c>
      <c r="F238" s="151">
        <f t="shared" si="16"/>
        <v>-9.0347441113725058E-3</v>
      </c>
      <c r="N238" s="76">
        <v>17373.099609000001</v>
      </c>
    </row>
    <row r="239" spans="1:14">
      <c r="A239" s="394">
        <v>45338</v>
      </c>
      <c r="B239" s="393">
        <v>11380.4</v>
      </c>
      <c r="C239" s="393">
        <f t="shared" si="20"/>
        <v>22483.199218000002</v>
      </c>
      <c r="E239" s="151">
        <f t="shared" si="15"/>
        <v>-8.9651538967288058E-3</v>
      </c>
      <c r="F239" s="151">
        <f t="shared" si="16"/>
        <v>-2.0373824429106291E-3</v>
      </c>
      <c r="N239" s="76">
        <v>17343.300781000002</v>
      </c>
    </row>
    <row r="240" spans="1:14">
      <c r="A240" s="394">
        <v>45337</v>
      </c>
      <c r="B240" s="393">
        <v>11090.25</v>
      </c>
      <c r="C240" s="393">
        <f t="shared" si="20"/>
        <v>21844.5</v>
      </c>
      <c r="E240" s="151">
        <f t="shared" si="15"/>
        <v>-2.5495588907244016E-2</v>
      </c>
      <c r="F240" s="151">
        <f t="shared" si="16"/>
        <v>-2.8407844088694456E-2</v>
      </c>
      <c r="N240" s="76">
        <v>17504.599609000001</v>
      </c>
    </row>
    <row r="241" spans="1:14">
      <c r="A241" s="394">
        <v>45336</v>
      </c>
      <c r="B241" s="393">
        <v>11027.95</v>
      </c>
      <c r="C241" s="393">
        <f t="shared" si="20"/>
        <v>22352.599610000001</v>
      </c>
      <c r="E241" s="151">
        <f t="shared" si="15"/>
        <v>-5.6175469443879855E-3</v>
      </c>
      <c r="F241" s="151">
        <f t="shared" si="16"/>
        <v>2.3259841607727427E-2</v>
      </c>
      <c r="N241" s="76">
        <v>17597.449218999998</v>
      </c>
    </row>
    <row r="242" spans="1:14">
      <c r="A242" s="394">
        <v>45335</v>
      </c>
      <c r="B242" s="393">
        <v>10794.5</v>
      </c>
      <c r="C242" s="393">
        <f t="shared" si="20"/>
        <v>22730.5</v>
      </c>
      <c r="E242" s="151">
        <f t="shared" si="15"/>
        <v>-2.1168938923372016E-2</v>
      </c>
      <c r="F242" s="151">
        <f t="shared" si="16"/>
        <v>1.6906328417878314E-2</v>
      </c>
      <c r="N242" s="76">
        <v>17641</v>
      </c>
    </row>
    <row r="243" spans="1:14">
      <c r="A243" s="394">
        <v>45334</v>
      </c>
      <c r="B243" s="393">
        <v>10709.7</v>
      </c>
      <c r="C243" s="393">
        <f t="shared" si="20"/>
        <v>22707.300781999998</v>
      </c>
      <c r="E243" s="151">
        <f t="shared" si="15"/>
        <v>-7.8558525174856619E-3</v>
      </c>
      <c r="F243" s="151">
        <f t="shared" si="16"/>
        <v>-1.0206206638657678E-3</v>
      </c>
      <c r="N243" s="76">
        <v>17618.699218999998</v>
      </c>
    </row>
    <row r="244" spans="1:14">
      <c r="A244" s="394">
        <v>45331</v>
      </c>
      <c r="B244" s="393">
        <v>10732.85</v>
      </c>
      <c r="C244" s="393">
        <f t="shared" si="20"/>
        <v>22770.400389999999</v>
      </c>
      <c r="E244" s="151">
        <f t="shared" si="15"/>
        <v>2.1615918279689339E-3</v>
      </c>
      <c r="F244" s="151">
        <f t="shared" si="16"/>
        <v>2.7788246875215528E-3</v>
      </c>
      <c r="N244" s="76">
        <v>17626.199218999998</v>
      </c>
    </row>
    <row r="245" spans="1:14">
      <c r="A245" s="394">
        <v>45330</v>
      </c>
      <c r="B245" s="393">
        <v>10743.9</v>
      </c>
      <c r="C245" s="393">
        <f t="shared" si="20"/>
        <v>23091.800781999998</v>
      </c>
      <c r="E245" s="151">
        <f t="shared" si="15"/>
        <v>1.0295494672896144E-3</v>
      </c>
      <c r="F245" s="151">
        <f t="shared" si="16"/>
        <v>1.4114832699259283E-2</v>
      </c>
      <c r="N245" s="76">
        <v>17652.900390999999</v>
      </c>
    </row>
    <row r="246" spans="1:14">
      <c r="A246" s="394">
        <v>45329</v>
      </c>
      <c r="B246" s="393">
        <v>10935.7</v>
      </c>
      <c r="C246" s="393">
        <f t="shared" si="20"/>
        <v>23251.199218000002</v>
      </c>
      <c r="E246" s="151">
        <f t="shared" si="15"/>
        <v>1.7851990431779985E-2</v>
      </c>
      <c r="F246" s="151">
        <f t="shared" si="16"/>
        <v>6.9028153111494461E-3</v>
      </c>
      <c r="N246" s="76">
        <v>17648.599609000001</v>
      </c>
    </row>
    <row r="247" spans="1:14">
      <c r="A247" s="394">
        <v>45328</v>
      </c>
      <c r="B247" s="393">
        <v>10844.85</v>
      </c>
      <c r="C247" s="393">
        <f>N12*2</f>
        <v>23091.800781999998</v>
      </c>
      <c r="E247" s="151">
        <f t="shared" si="15"/>
        <v>-8.3076529165942992E-3</v>
      </c>
      <c r="F247" s="151">
        <f t="shared" si="16"/>
        <v>-6.8554931083556481E-3</v>
      </c>
      <c r="N247" s="76">
        <v>17678.449218999998</v>
      </c>
    </row>
    <row r="248" spans="1:14">
      <c r="A248" s="394">
        <v>45327</v>
      </c>
      <c r="B248" s="393">
        <v>10428.549999999999</v>
      </c>
      <c r="C248" s="393">
        <f>N4*2</f>
        <v>22734.5</v>
      </c>
      <c r="E248" s="151">
        <f t="shared" si="15"/>
        <v>-3.8386884097060037E-2</v>
      </c>
      <c r="F248" s="151">
        <f t="shared" si="16"/>
        <v>-1.5473058397356021E-2</v>
      </c>
      <c r="N248" s="76">
        <v>17809.5</v>
      </c>
    </row>
    <row r="249" spans="1:14">
      <c r="A249" s="394">
        <v>45324</v>
      </c>
      <c r="B249" s="393">
        <v>10655.45</v>
      </c>
      <c r="C249" s="393">
        <f t="shared" ref="C249:C251" si="21">N5*2</f>
        <v>22529.099610000001</v>
      </c>
      <c r="E249" s="151">
        <f t="shared" si="15"/>
        <v>2.1757578953929491E-2</v>
      </c>
      <c r="F249" s="151">
        <f t="shared" si="16"/>
        <v>-9.0347441113725058E-3</v>
      </c>
      <c r="N249" s="76">
        <v>17925.050781000002</v>
      </c>
    </row>
    <row r="250" spans="1:14">
      <c r="A250" s="394">
        <v>45323</v>
      </c>
      <c r="B250" s="393">
        <v>10637.95</v>
      </c>
      <c r="C250" s="393">
        <f t="shared" si="21"/>
        <v>22483.199218000002</v>
      </c>
      <c r="E250" s="151">
        <f t="shared" si="15"/>
        <v>-1.6423520358126442E-3</v>
      </c>
      <c r="F250" s="151">
        <f t="shared" si="16"/>
        <v>-2.0373824429106291E-3</v>
      </c>
      <c r="N250" s="76">
        <v>17864.550781000002</v>
      </c>
    </row>
    <row r="251" spans="1:14">
      <c r="A251" s="394">
        <v>45322</v>
      </c>
      <c r="B251" s="393">
        <v>10186.9</v>
      </c>
      <c r="C251" s="393">
        <f t="shared" si="21"/>
        <v>21844.5</v>
      </c>
      <c r="E251" s="151">
        <f t="shared" si="15"/>
        <v>-4.2400086482828114E-2</v>
      </c>
      <c r="F251" s="151">
        <f t="shared" si="16"/>
        <v>-2.8407844088694456E-2</v>
      </c>
      <c r="N251" s="76">
        <v>17654.099609000001</v>
      </c>
    </row>
    <row r="252" spans="1:14">
      <c r="E252"/>
      <c r="F252"/>
    </row>
    <row r="253" spans="1:14">
      <c r="E253"/>
      <c r="F253"/>
    </row>
    <row r="254" spans="1:14">
      <c r="E254"/>
      <c r="F254"/>
    </row>
    <row r="255" spans="1:14">
      <c r="E255"/>
      <c r="F255"/>
    </row>
    <row r="256" spans="1:14">
      <c r="E256"/>
      <c r="F256"/>
    </row>
    <row r="257" spans="5:6">
      <c r="E257"/>
      <c r="F257"/>
    </row>
    <row r="258" spans="5:6">
      <c r="E258"/>
      <c r="F258"/>
    </row>
    <row r="259" spans="5:6">
      <c r="E259"/>
      <c r="F259"/>
    </row>
    <row r="260" spans="5:6">
      <c r="E260"/>
      <c r="F260"/>
    </row>
    <row r="261" spans="5:6">
      <c r="E261"/>
      <c r="F261"/>
    </row>
    <row r="262" spans="5:6">
      <c r="E262"/>
      <c r="F262"/>
    </row>
    <row r="263" spans="5:6">
      <c r="E263"/>
      <c r="F263"/>
    </row>
    <row r="264" spans="5:6">
      <c r="E264"/>
      <c r="F264"/>
    </row>
    <row r="265" spans="5:6">
      <c r="E265"/>
      <c r="F265"/>
    </row>
    <row r="266" spans="5:6">
      <c r="E266"/>
      <c r="F266"/>
    </row>
    <row r="267" spans="5:6">
      <c r="E267"/>
      <c r="F267"/>
    </row>
    <row r="268" spans="5:6">
      <c r="E268"/>
      <c r="F268"/>
    </row>
    <row r="269" spans="5:6">
      <c r="E269"/>
      <c r="F269"/>
    </row>
    <row r="270" spans="5:6">
      <c r="E270"/>
      <c r="F270"/>
    </row>
    <row r="271" spans="5:6">
      <c r="E271"/>
      <c r="F271"/>
    </row>
    <row r="272" spans="5:6">
      <c r="E272"/>
      <c r="F272"/>
    </row>
    <row r="273" spans="5:6">
      <c r="E273"/>
      <c r="F273"/>
    </row>
    <row r="274" spans="5:6">
      <c r="E274"/>
      <c r="F274"/>
    </row>
    <row r="275" spans="5:6">
      <c r="E275"/>
      <c r="F275"/>
    </row>
    <row r="276" spans="5:6">
      <c r="E276"/>
      <c r="F276"/>
    </row>
    <row r="277" spans="5:6">
      <c r="E277"/>
      <c r="F277"/>
    </row>
    <row r="278" spans="5:6">
      <c r="E278"/>
      <c r="F278"/>
    </row>
    <row r="279" spans="5:6">
      <c r="E279"/>
      <c r="F279"/>
    </row>
    <row r="280" spans="5:6">
      <c r="E280"/>
      <c r="F280"/>
    </row>
    <row r="281" spans="5:6">
      <c r="E281"/>
      <c r="F281"/>
    </row>
    <row r="282" spans="5:6">
      <c r="E282"/>
      <c r="F282"/>
    </row>
    <row r="283" spans="5:6">
      <c r="E283"/>
      <c r="F283"/>
    </row>
    <row r="284" spans="5:6">
      <c r="E284"/>
      <c r="F284"/>
    </row>
    <row r="285" spans="5:6">
      <c r="E285"/>
      <c r="F285"/>
    </row>
    <row r="286" spans="5:6">
      <c r="E286"/>
      <c r="F286"/>
    </row>
    <row r="287" spans="5:6">
      <c r="E287"/>
      <c r="F287"/>
    </row>
    <row r="288" spans="5:6">
      <c r="E288"/>
      <c r="F288"/>
    </row>
    <row r="289" spans="5:6">
      <c r="E289"/>
      <c r="F289"/>
    </row>
    <row r="290" spans="5:6">
      <c r="E290"/>
      <c r="F290"/>
    </row>
    <row r="291" spans="5:6">
      <c r="E291"/>
      <c r="F291"/>
    </row>
    <row r="292" spans="5:6">
      <c r="E292"/>
      <c r="F292"/>
    </row>
    <row r="293" spans="5:6">
      <c r="E293"/>
      <c r="F293"/>
    </row>
    <row r="294" spans="5:6">
      <c r="E294"/>
      <c r="F294"/>
    </row>
    <row r="295" spans="5:6">
      <c r="E295"/>
      <c r="F295"/>
    </row>
    <row r="296" spans="5:6">
      <c r="E296"/>
      <c r="F296"/>
    </row>
    <row r="297" spans="5:6">
      <c r="E297"/>
      <c r="F297"/>
    </row>
    <row r="298" spans="5:6">
      <c r="E298"/>
      <c r="F298"/>
    </row>
    <row r="299" spans="5:6">
      <c r="E299"/>
      <c r="F299"/>
    </row>
    <row r="300" spans="5:6">
      <c r="E300"/>
      <c r="F300"/>
    </row>
    <row r="301" spans="5:6">
      <c r="E301"/>
      <c r="F301"/>
    </row>
    <row r="302" spans="5:6">
      <c r="E302"/>
      <c r="F302"/>
    </row>
    <row r="303" spans="5:6">
      <c r="E303"/>
      <c r="F303"/>
    </row>
    <row r="304" spans="5:6">
      <c r="E304"/>
      <c r="F304"/>
    </row>
    <row r="305" spans="5:6">
      <c r="E305"/>
      <c r="F305"/>
    </row>
    <row r="306" spans="5:6">
      <c r="E306"/>
      <c r="F306"/>
    </row>
    <row r="307" spans="5:6">
      <c r="E307"/>
      <c r="F307"/>
    </row>
    <row r="308" spans="5:6">
      <c r="E308"/>
      <c r="F308"/>
    </row>
    <row r="309" spans="5:6">
      <c r="E309"/>
      <c r="F309"/>
    </row>
    <row r="310" spans="5:6">
      <c r="E310"/>
      <c r="F310"/>
    </row>
    <row r="311" spans="5:6">
      <c r="E311"/>
      <c r="F311"/>
    </row>
    <row r="312" spans="5:6">
      <c r="E312"/>
      <c r="F312"/>
    </row>
    <row r="313" spans="5:6">
      <c r="E313"/>
      <c r="F313"/>
    </row>
    <row r="314" spans="5:6">
      <c r="E314"/>
      <c r="F314"/>
    </row>
    <row r="315" spans="5:6">
      <c r="E315"/>
      <c r="F315"/>
    </row>
    <row r="316" spans="5:6">
      <c r="E316"/>
      <c r="F316"/>
    </row>
    <row r="317" spans="5:6">
      <c r="E317"/>
      <c r="F317"/>
    </row>
    <row r="318" spans="5:6">
      <c r="E318"/>
      <c r="F318"/>
    </row>
    <row r="319" spans="5:6">
      <c r="E319"/>
      <c r="F319"/>
    </row>
    <row r="320" spans="5:6">
      <c r="E320"/>
      <c r="F320"/>
    </row>
    <row r="321" spans="5:6">
      <c r="E321"/>
      <c r="F321"/>
    </row>
    <row r="322" spans="5:6">
      <c r="E322"/>
      <c r="F322"/>
    </row>
    <row r="323" spans="5:6">
      <c r="E323"/>
      <c r="F323"/>
    </row>
    <row r="324" spans="5:6">
      <c r="E324"/>
      <c r="F324"/>
    </row>
    <row r="325" spans="5:6">
      <c r="E325"/>
      <c r="F325"/>
    </row>
    <row r="326" spans="5:6">
      <c r="E326"/>
      <c r="F326"/>
    </row>
    <row r="327" spans="5:6">
      <c r="E327"/>
      <c r="F327"/>
    </row>
    <row r="328" spans="5:6">
      <c r="E328"/>
      <c r="F328"/>
    </row>
    <row r="329" spans="5:6">
      <c r="E329"/>
      <c r="F329"/>
    </row>
    <row r="330" spans="5:6">
      <c r="E330"/>
      <c r="F330"/>
    </row>
    <row r="331" spans="5:6">
      <c r="E331"/>
      <c r="F331"/>
    </row>
    <row r="332" spans="5:6">
      <c r="E332"/>
      <c r="F332"/>
    </row>
    <row r="333" spans="5:6">
      <c r="E333"/>
      <c r="F333"/>
    </row>
    <row r="334" spans="5:6">
      <c r="E334"/>
      <c r="F334"/>
    </row>
    <row r="335" spans="5:6">
      <c r="E335"/>
      <c r="F335"/>
    </row>
    <row r="336" spans="5:6">
      <c r="E336"/>
      <c r="F336"/>
    </row>
    <row r="337" spans="5:6">
      <c r="E337"/>
      <c r="F337"/>
    </row>
    <row r="338" spans="5:6">
      <c r="E338"/>
      <c r="F338"/>
    </row>
    <row r="339" spans="5:6">
      <c r="E339"/>
      <c r="F339"/>
    </row>
    <row r="340" spans="5:6">
      <c r="E340"/>
      <c r="F340"/>
    </row>
    <row r="341" spans="5:6">
      <c r="E341"/>
      <c r="F341"/>
    </row>
    <row r="342" spans="5:6">
      <c r="E342"/>
      <c r="F342"/>
    </row>
    <row r="343" spans="5:6">
      <c r="E343"/>
      <c r="F343"/>
    </row>
    <row r="344" spans="5:6">
      <c r="E344"/>
      <c r="F344"/>
    </row>
    <row r="345" spans="5:6">
      <c r="E345"/>
      <c r="F345"/>
    </row>
    <row r="346" spans="5:6">
      <c r="E346"/>
      <c r="F346"/>
    </row>
    <row r="347" spans="5:6">
      <c r="E347"/>
      <c r="F347"/>
    </row>
    <row r="348" spans="5:6">
      <c r="E348"/>
      <c r="F348"/>
    </row>
    <row r="349" spans="5:6">
      <c r="E349"/>
      <c r="F349"/>
    </row>
    <row r="350" spans="5:6">
      <c r="E350"/>
      <c r="F350"/>
    </row>
    <row r="351" spans="5:6">
      <c r="E351"/>
      <c r="F351"/>
    </row>
    <row r="352" spans="5:6">
      <c r="E352"/>
      <c r="F352"/>
    </row>
    <row r="353" spans="5:6">
      <c r="E353"/>
      <c r="F353"/>
    </row>
    <row r="354" spans="5:6">
      <c r="E354"/>
      <c r="F354"/>
    </row>
    <row r="355" spans="5:6">
      <c r="E355"/>
      <c r="F355"/>
    </row>
    <row r="356" spans="5:6">
      <c r="E356"/>
      <c r="F356"/>
    </row>
    <row r="357" spans="5:6">
      <c r="E357"/>
      <c r="F357"/>
    </row>
    <row r="358" spans="5:6">
      <c r="E358"/>
      <c r="F358"/>
    </row>
    <row r="359" spans="5:6">
      <c r="E359"/>
      <c r="F359"/>
    </row>
    <row r="360" spans="5:6">
      <c r="E360"/>
      <c r="F360"/>
    </row>
    <row r="361" spans="5:6">
      <c r="E361"/>
      <c r="F361"/>
    </row>
    <row r="362" spans="5:6">
      <c r="E362"/>
      <c r="F362"/>
    </row>
    <row r="363" spans="5:6">
      <c r="E363"/>
      <c r="F363"/>
    </row>
    <row r="364" spans="5:6">
      <c r="E364"/>
      <c r="F364"/>
    </row>
    <row r="365" spans="5:6">
      <c r="E365"/>
      <c r="F365"/>
    </row>
    <row r="366" spans="5:6">
      <c r="E366"/>
      <c r="F366"/>
    </row>
    <row r="367" spans="5:6">
      <c r="E367"/>
      <c r="F367"/>
    </row>
    <row r="368" spans="5:6">
      <c r="E368"/>
      <c r="F368"/>
    </row>
    <row r="369" spans="5:6">
      <c r="E369"/>
      <c r="F369"/>
    </row>
    <row r="370" spans="5:6">
      <c r="E370"/>
      <c r="F370"/>
    </row>
    <row r="371" spans="5:6">
      <c r="E371"/>
      <c r="F371"/>
    </row>
    <row r="372" spans="5:6">
      <c r="E372"/>
      <c r="F372"/>
    </row>
    <row r="373" spans="5:6">
      <c r="E373"/>
      <c r="F373"/>
    </row>
    <row r="374" spans="5:6">
      <c r="E374"/>
      <c r="F374"/>
    </row>
    <row r="375" spans="5:6">
      <c r="E375"/>
      <c r="F375"/>
    </row>
    <row r="376" spans="5:6">
      <c r="E376"/>
      <c r="F376"/>
    </row>
    <row r="377" spans="5:6">
      <c r="E377"/>
      <c r="F377"/>
    </row>
    <row r="378" spans="5:6">
      <c r="E378"/>
      <c r="F378"/>
    </row>
    <row r="379" spans="5:6">
      <c r="E379"/>
      <c r="F379"/>
    </row>
    <row r="380" spans="5:6">
      <c r="E380"/>
      <c r="F380"/>
    </row>
    <row r="381" spans="5:6">
      <c r="E381"/>
      <c r="F381"/>
    </row>
    <row r="382" spans="5:6">
      <c r="E382"/>
      <c r="F382"/>
    </row>
    <row r="383" spans="5:6">
      <c r="E383"/>
      <c r="F383"/>
    </row>
    <row r="384" spans="5:6">
      <c r="E384"/>
      <c r="F384"/>
    </row>
    <row r="385" spans="5:6">
      <c r="E385"/>
      <c r="F385"/>
    </row>
    <row r="386" spans="5:6">
      <c r="E386"/>
      <c r="F386"/>
    </row>
    <row r="387" spans="5:6">
      <c r="E387"/>
      <c r="F387"/>
    </row>
    <row r="388" spans="5:6">
      <c r="E388"/>
      <c r="F388"/>
    </row>
    <row r="389" spans="5:6">
      <c r="E389"/>
      <c r="F389"/>
    </row>
    <row r="390" spans="5:6">
      <c r="E390"/>
      <c r="F390"/>
    </row>
    <row r="391" spans="5:6">
      <c r="E391"/>
      <c r="F391"/>
    </row>
    <row r="392" spans="5:6">
      <c r="E392"/>
      <c r="F392"/>
    </row>
    <row r="393" spans="5:6">
      <c r="E393"/>
      <c r="F393"/>
    </row>
    <row r="394" spans="5:6">
      <c r="E394"/>
      <c r="F394"/>
    </row>
    <row r="395" spans="5:6">
      <c r="E395"/>
      <c r="F395"/>
    </row>
    <row r="396" spans="5:6">
      <c r="E396"/>
      <c r="F396"/>
    </row>
    <row r="397" spans="5:6">
      <c r="E397"/>
      <c r="F397"/>
    </row>
    <row r="398" spans="5:6">
      <c r="E398"/>
      <c r="F398"/>
    </row>
    <row r="399" spans="5:6">
      <c r="E399"/>
      <c r="F399"/>
    </row>
    <row r="400" spans="5:6">
      <c r="E400"/>
      <c r="F400"/>
    </row>
    <row r="401" spans="5:6">
      <c r="E401"/>
      <c r="F401"/>
    </row>
    <row r="402" spans="5:6">
      <c r="E402"/>
      <c r="F402"/>
    </row>
    <row r="403" spans="5:6">
      <c r="E403"/>
      <c r="F403"/>
    </row>
    <row r="404" spans="5:6">
      <c r="E404"/>
      <c r="F404"/>
    </row>
    <row r="405" spans="5:6">
      <c r="E405"/>
      <c r="F405"/>
    </row>
    <row r="406" spans="5:6">
      <c r="E406"/>
      <c r="F406"/>
    </row>
    <row r="407" spans="5:6">
      <c r="E407"/>
      <c r="F407"/>
    </row>
    <row r="408" spans="5:6">
      <c r="E408"/>
      <c r="F408"/>
    </row>
    <row r="409" spans="5:6">
      <c r="E409"/>
      <c r="F409"/>
    </row>
    <row r="410" spans="5:6">
      <c r="E410"/>
      <c r="F410"/>
    </row>
    <row r="411" spans="5:6">
      <c r="E411"/>
      <c r="F411"/>
    </row>
    <row r="412" spans="5:6">
      <c r="E412"/>
      <c r="F412"/>
    </row>
    <row r="413" spans="5:6">
      <c r="E413"/>
      <c r="F413"/>
    </row>
    <row r="414" spans="5:6">
      <c r="E414"/>
      <c r="F414"/>
    </row>
    <row r="415" spans="5:6">
      <c r="E415"/>
      <c r="F415"/>
    </row>
    <row r="416" spans="5:6">
      <c r="E416"/>
      <c r="F416"/>
    </row>
    <row r="417" spans="5:6">
      <c r="E417"/>
      <c r="F417"/>
    </row>
    <row r="418" spans="5:6">
      <c r="E418"/>
      <c r="F418"/>
    </row>
    <row r="419" spans="5:6">
      <c r="E419"/>
      <c r="F419"/>
    </row>
    <row r="420" spans="5:6">
      <c r="E420"/>
      <c r="F420"/>
    </row>
    <row r="421" spans="5:6">
      <c r="E421"/>
      <c r="F421"/>
    </row>
    <row r="422" spans="5:6">
      <c r="E422"/>
      <c r="F422"/>
    </row>
    <row r="423" spans="5:6">
      <c r="E423"/>
      <c r="F423"/>
    </row>
    <row r="424" spans="5:6">
      <c r="E424"/>
      <c r="F424"/>
    </row>
    <row r="425" spans="5:6">
      <c r="E425"/>
      <c r="F425"/>
    </row>
    <row r="426" spans="5:6">
      <c r="E426"/>
      <c r="F426"/>
    </row>
    <row r="427" spans="5:6">
      <c r="E427"/>
      <c r="F427"/>
    </row>
    <row r="428" spans="5:6">
      <c r="E428"/>
      <c r="F428"/>
    </row>
    <row r="429" spans="5:6">
      <c r="E429"/>
      <c r="F429"/>
    </row>
    <row r="430" spans="5:6">
      <c r="E430"/>
      <c r="F430"/>
    </row>
    <row r="431" spans="5:6">
      <c r="E431"/>
      <c r="F431"/>
    </row>
    <row r="432" spans="5:6">
      <c r="E432"/>
      <c r="F432"/>
    </row>
    <row r="433" spans="5:6">
      <c r="E433"/>
      <c r="F433"/>
    </row>
    <row r="434" spans="5:6">
      <c r="E434"/>
      <c r="F434"/>
    </row>
    <row r="435" spans="5:6">
      <c r="E435"/>
      <c r="F435"/>
    </row>
    <row r="436" spans="5:6">
      <c r="E436"/>
      <c r="F436"/>
    </row>
    <row r="437" spans="5:6">
      <c r="E437"/>
      <c r="F437"/>
    </row>
    <row r="438" spans="5:6">
      <c r="E438"/>
      <c r="F438"/>
    </row>
    <row r="439" spans="5:6">
      <c r="E439"/>
      <c r="F439"/>
    </row>
    <row r="440" spans="5:6">
      <c r="E440"/>
      <c r="F440"/>
    </row>
    <row r="441" spans="5:6">
      <c r="E441"/>
      <c r="F441"/>
    </row>
    <row r="442" spans="5:6">
      <c r="E442"/>
      <c r="F442"/>
    </row>
    <row r="443" spans="5:6">
      <c r="E443"/>
      <c r="F443"/>
    </row>
    <row r="444" spans="5:6">
      <c r="E444"/>
      <c r="F444"/>
    </row>
    <row r="445" spans="5:6">
      <c r="E445"/>
      <c r="F445"/>
    </row>
    <row r="446" spans="5:6">
      <c r="E446"/>
      <c r="F446"/>
    </row>
    <row r="447" spans="5:6">
      <c r="E447"/>
      <c r="F447"/>
    </row>
    <row r="448" spans="5:6">
      <c r="E448"/>
      <c r="F448"/>
    </row>
    <row r="449" spans="5:6">
      <c r="E449"/>
      <c r="F449"/>
    </row>
    <row r="450" spans="5:6">
      <c r="E450"/>
      <c r="F450"/>
    </row>
    <row r="451" spans="5:6">
      <c r="E451"/>
      <c r="F451"/>
    </row>
    <row r="452" spans="5:6">
      <c r="E452"/>
      <c r="F452"/>
    </row>
    <row r="453" spans="5:6">
      <c r="E453"/>
      <c r="F453"/>
    </row>
    <row r="454" spans="5:6">
      <c r="E454"/>
      <c r="F454"/>
    </row>
    <row r="455" spans="5:6">
      <c r="E455"/>
      <c r="F455"/>
    </row>
    <row r="456" spans="5:6">
      <c r="E456"/>
      <c r="F456"/>
    </row>
    <row r="457" spans="5:6">
      <c r="E457"/>
      <c r="F457"/>
    </row>
    <row r="458" spans="5:6">
      <c r="E458"/>
      <c r="F458"/>
    </row>
    <row r="459" spans="5:6">
      <c r="E459"/>
      <c r="F459"/>
    </row>
    <row r="460" spans="5:6">
      <c r="E460"/>
      <c r="F460"/>
    </row>
    <row r="461" spans="5:6">
      <c r="E461"/>
      <c r="F461"/>
    </row>
    <row r="462" spans="5:6">
      <c r="E462"/>
      <c r="F462"/>
    </row>
    <row r="463" spans="5:6">
      <c r="E463"/>
      <c r="F463"/>
    </row>
    <row r="464" spans="5:6">
      <c r="E464"/>
      <c r="F464"/>
    </row>
    <row r="465" spans="5:6">
      <c r="E465"/>
      <c r="F465"/>
    </row>
    <row r="466" spans="5:6">
      <c r="E466"/>
      <c r="F466"/>
    </row>
    <row r="467" spans="5:6">
      <c r="E467"/>
      <c r="F467"/>
    </row>
    <row r="468" spans="5:6">
      <c r="E468"/>
      <c r="F468"/>
    </row>
    <row r="469" spans="5:6">
      <c r="E469"/>
      <c r="F469"/>
    </row>
    <row r="470" spans="5:6">
      <c r="E470"/>
      <c r="F470"/>
    </row>
    <row r="471" spans="5:6">
      <c r="E471"/>
      <c r="F471"/>
    </row>
    <row r="472" spans="5:6">
      <c r="E472"/>
      <c r="F472"/>
    </row>
    <row r="473" spans="5:6">
      <c r="E473"/>
      <c r="F473"/>
    </row>
    <row r="474" spans="5:6">
      <c r="E474"/>
      <c r="F474"/>
    </row>
    <row r="475" spans="5:6">
      <c r="E475"/>
      <c r="F475"/>
    </row>
    <row r="476" spans="5:6">
      <c r="E476"/>
      <c r="F476"/>
    </row>
    <row r="477" spans="5:6">
      <c r="E477"/>
      <c r="F477"/>
    </row>
    <row r="478" spans="5:6">
      <c r="E478"/>
      <c r="F478"/>
    </row>
    <row r="479" spans="5:6">
      <c r="E479"/>
      <c r="F479"/>
    </row>
    <row r="480" spans="5:6">
      <c r="E480"/>
      <c r="F480"/>
    </row>
    <row r="481" spans="5:6">
      <c r="E481"/>
      <c r="F481"/>
    </row>
    <row r="482" spans="5:6">
      <c r="E482"/>
      <c r="F482"/>
    </row>
    <row r="483" spans="5:6">
      <c r="E483"/>
      <c r="F483"/>
    </row>
    <row r="484" spans="5:6">
      <c r="E484"/>
      <c r="F484"/>
    </row>
    <row r="485" spans="5:6">
      <c r="E485"/>
      <c r="F485"/>
    </row>
    <row r="486" spans="5:6">
      <c r="E486"/>
      <c r="F486"/>
    </row>
    <row r="487" spans="5:6">
      <c r="E487"/>
      <c r="F487"/>
    </row>
    <row r="488" spans="5:6">
      <c r="E488"/>
      <c r="F488"/>
    </row>
    <row r="489" spans="5:6">
      <c r="E489"/>
      <c r="F489"/>
    </row>
    <row r="490" spans="5:6">
      <c r="E490"/>
      <c r="F490"/>
    </row>
    <row r="491" spans="5:6">
      <c r="E491"/>
      <c r="F491"/>
    </row>
    <row r="492" spans="5:6">
      <c r="E492"/>
      <c r="F492"/>
    </row>
    <row r="493" spans="5:6">
      <c r="E493"/>
      <c r="F493"/>
    </row>
    <row r="494" spans="5:6">
      <c r="E494"/>
      <c r="F494"/>
    </row>
    <row r="495" spans="5:6">
      <c r="E495"/>
      <c r="F495"/>
    </row>
    <row r="496" spans="5:6">
      <c r="E496"/>
      <c r="F496"/>
    </row>
    <row r="497" spans="5:6">
      <c r="E497"/>
      <c r="F497"/>
    </row>
    <row r="498" spans="5:6">
      <c r="E498"/>
      <c r="F498"/>
    </row>
    <row r="499" spans="5:6">
      <c r="E499"/>
      <c r="F499"/>
    </row>
    <row r="500" spans="5:6">
      <c r="E500"/>
      <c r="F500"/>
    </row>
    <row r="501" spans="5:6">
      <c r="E501"/>
      <c r="F501"/>
    </row>
    <row r="502" spans="5:6">
      <c r="E502"/>
      <c r="F502"/>
    </row>
    <row r="503" spans="5:6">
      <c r="E503"/>
      <c r="F503"/>
    </row>
    <row r="504" spans="5:6">
      <c r="E504"/>
      <c r="F504"/>
    </row>
    <row r="505" spans="5:6">
      <c r="E505"/>
      <c r="F505"/>
    </row>
    <row r="506" spans="5:6">
      <c r="E506"/>
      <c r="F506"/>
    </row>
    <row r="507" spans="5:6">
      <c r="E507"/>
      <c r="F507"/>
    </row>
    <row r="508" spans="5:6">
      <c r="E508"/>
      <c r="F508"/>
    </row>
    <row r="509" spans="5:6">
      <c r="E509"/>
      <c r="F509"/>
    </row>
    <row r="510" spans="5:6">
      <c r="E510"/>
      <c r="F510"/>
    </row>
    <row r="511" spans="5:6">
      <c r="E511"/>
      <c r="F511"/>
    </row>
    <row r="512" spans="5:6">
      <c r="E512"/>
      <c r="F512"/>
    </row>
    <row r="513" spans="5:6">
      <c r="E513"/>
      <c r="F513"/>
    </row>
    <row r="514" spans="5:6">
      <c r="E514"/>
      <c r="F514"/>
    </row>
    <row r="515" spans="5:6">
      <c r="E515"/>
      <c r="F515"/>
    </row>
    <row r="516" spans="5:6">
      <c r="E516"/>
      <c r="F516"/>
    </row>
    <row r="517" spans="5:6">
      <c r="E517"/>
      <c r="F517"/>
    </row>
    <row r="518" spans="5:6">
      <c r="E518"/>
      <c r="F518"/>
    </row>
    <row r="519" spans="5:6">
      <c r="E519"/>
      <c r="F519"/>
    </row>
    <row r="520" spans="5:6">
      <c r="E520"/>
      <c r="F520"/>
    </row>
    <row r="521" spans="5:6">
      <c r="E521"/>
      <c r="F521"/>
    </row>
    <row r="522" spans="5:6">
      <c r="E522"/>
      <c r="F522"/>
    </row>
    <row r="523" spans="5:6">
      <c r="E523"/>
      <c r="F523"/>
    </row>
    <row r="524" spans="5:6">
      <c r="E524"/>
      <c r="F524"/>
    </row>
    <row r="525" spans="5:6">
      <c r="E525"/>
      <c r="F525"/>
    </row>
    <row r="526" spans="5:6">
      <c r="E526"/>
      <c r="F526"/>
    </row>
    <row r="527" spans="5:6">
      <c r="E527"/>
      <c r="F527"/>
    </row>
    <row r="528" spans="5:6">
      <c r="E528"/>
      <c r="F528"/>
    </row>
    <row r="529" spans="5:6">
      <c r="E529"/>
      <c r="F529"/>
    </row>
    <row r="530" spans="5:6">
      <c r="E530"/>
      <c r="F530"/>
    </row>
    <row r="531" spans="5:6">
      <c r="E531"/>
      <c r="F531"/>
    </row>
    <row r="532" spans="5:6">
      <c r="E532"/>
      <c r="F532"/>
    </row>
    <row r="533" spans="5:6">
      <c r="E533"/>
      <c r="F533"/>
    </row>
    <row r="534" spans="5:6">
      <c r="E534"/>
      <c r="F534"/>
    </row>
    <row r="535" spans="5:6">
      <c r="E535"/>
      <c r="F535"/>
    </row>
    <row r="536" spans="5:6">
      <c r="E536"/>
      <c r="F536"/>
    </row>
    <row r="537" spans="5:6">
      <c r="E537"/>
      <c r="F537"/>
    </row>
    <row r="538" spans="5:6">
      <c r="E538"/>
      <c r="F538"/>
    </row>
    <row r="539" spans="5:6">
      <c r="E539"/>
      <c r="F539"/>
    </row>
    <row r="540" spans="5:6">
      <c r="E540"/>
      <c r="F540"/>
    </row>
    <row r="541" spans="5:6">
      <c r="E541"/>
      <c r="F541"/>
    </row>
    <row r="542" spans="5:6">
      <c r="E542"/>
      <c r="F542"/>
    </row>
    <row r="543" spans="5:6">
      <c r="E543"/>
      <c r="F543"/>
    </row>
    <row r="544" spans="5:6">
      <c r="E544"/>
      <c r="F544"/>
    </row>
    <row r="545" spans="5:6">
      <c r="E545"/>
      <c r="F545"/>
    </row>
    <row r="546" spans="5:6">
      <c r="E546"/>
      <c r="F546"/>
    </row>
    <row r="547" spans="5:6">
      <c r="E547"/>
      <c r="F547"/>
    </row>
    <row r="548" spans="5:6">
      <c r="E548"/>
      <c r="F548"/>
    </row>
    <row r="549" spans="5:6">
      <c r="E549"/>
      <c r="F549"/>
    </row>
    <row r="550" spans="5:6">
      <c r="E550"/>
      <c r="F550"/>
    </row>
    <row r="551" spans="5:6">
      <c r="E551"/>
      <c r="F551"/>
    </row>
    <row r="552" spans="5:6">
      <c r="E552"/>
      <c r="F552"/>
    </row>
    <row r="553" spans="5:6">
      <c r="E553"/>
      <c r="F553"/>
    </row>
    <row r="554" spans="5:6">
      <c r="E554"/>
      <c r="F554"/>
    </row>
    <row r="555" spans="5:6">
      <c r="E555"/>
      <c r="F555"/>
    </row>
    <row r="556" spans="5:6">
      <c r="E556"/>
      <c r="F556"/>
    </row>
    <row r="557" spans="5:6">
      <c r="E557"/>
      <c r="F557"/>
    </row>
    <row r="558" spans="5:6">
      <c r="E558"/>
      <c r="F558"/>
    </row>
    <row r="559" spans="5:6">
      <c r="E559"/>
      <c r="F559"/>
    </row>
    <row r="560" spans="5:6">
      <c r="E560"/>
      <c r="F560"/>
    </row>
    <row r="561" spans="5:6">
      <c r="E561"/>
      <c r="F561"/>
    </row>
    <row r="562" spans="5:6">
      <c r="E562"/>
      <c r="F562"/>
    </row>
    <row r="563" spans="5:6">
      <c r="E563"/>
      <c r="F563"/>
    </row>
    <row r="564" spans="5:6">
      <c r="E564"/>
      <c r="F564"/>
    </row>
    <row r="565" spans="5:6">
      <c r="E565"/>
      <c r="F565"/>
    </row>
    <row r="566" spans="5:6">
      <c r="E566"/>
      <c r="F566"/>
    </row>
    <row r="567" spans="5:6">
      <c r="E567"/>
      <c r="F567"/>
    </row>
    <row r="568" spans="5:6">
      <c r="E568"/>
      <c r="F568"/>
    </row>
    <row r="569" spans="5:6">
      <c r="E569"/>
      <c r="F569"/>
    </row>
    <row r="570" spans="5:6">
      <c r="E570"/>
      <c r="F570"/>
    </row>
    <row r="571" spans="5:6">
      <c r="E571"/>
      <c r="F571"/>
    </row>
    <row r="572" spans="5:6">
      <c r="E572"/>
      <c r="F572"/>
    </row>
    <row r="573" spans="5:6">
      <c r="E573"/>
      <c r="F573"/>
    </row>
    <row r="574" spans="5:6">
      <c r="E574"/>
      <c r="F574"/>
    </row>
    <row r="575" spans="5:6">
      <c r="E575"/>
      <c r="F575"/>
    </row>
    <row r="576" spans="5:6">
      <c r="E576"/>
      <c r="F576"/>
    </row>
    <row r="577" spans="5:6">
      <c r="E577"/>
      <c r="F577"/>
    </row>
    <row r="578" spans="5:6">
      <c r="E578"/>
      <c r="F578"/>
    </row>
    <row r="579" spans="5:6">
      <c r="E579"/>
      <c r="F579"/>
    </row>
    <row r="580" spans="5:6">
      <c r="E580"/>
      <c r="F580"/>
    </row>
    <row r="581" spans="5:6">
      <c r="E581"/>
      <c r="F581"/>
    </row>
    <row r="582" spans="5:6">
      <c r="E582"/>
      <c r="F582"/>
    </row>
    <row r="583" spans="5:6">
      <c r="E583"/>
      <c r="F583"/>
    </row>
    <row r="584" spans="5:6">
      <c r="E584"/>
      <c r="F584"/>
    </row>
    <row r="585" spans="5:6">
      <c r="E585"/>
      <c r="F585"/>
    </row>
    <row r="586" spans="5:6">
      <c r="E586"/>
      <c r="F586"/>
    </row>
    <row r="587" spans="5:6">
      <c r="E587"/>
      <c r="F587"/>
    </row>
    <row r="588" spans="5:6">
      <c r="E588"/>
      <c r="F588"/>
    </row>
    <row r="589" spans="5:6">
      <c r="E589"/>
      <c r="F589"/>
    </row>
    <row r="590" spans="5:6">
      <c r="E590"/>
      <c r="F590"/>
    </row>
    <row r="591" spans="5:6">
      <c r="E591"/>
      <c r="F591"/>
    </row>
    <row r="592" spans="5:6">
      <c r="E592"/>
      <c r="F592"/>
    </row>
    <row r="593" spans="5:6">
      <c r="E593"/>
      <c r="F593"/>
    </row>
    <row r="594" spans="5:6">
      <c r="E594"/>
      <c r="F594"/>
    </row>
    <row r="595" spans="5:6">
      <c r="E595"/>
      <c r="F595"/>
    </row>
    <row r="596" spans="5:6">
      <c r="E596"/>
      <c r="F596"/>
    </row>
    <row r="597" spans="5:6">
      <c r="E597"/>
      <c r="F597"/>
    </row>
    <row r="598" spans="5:6">
      <c r="E598"/>
      <c r="F598"/>
    </row>
    <row r="599" spans="5:6">
      <c r="E599"/>
      <c r="F599"/>
    </row>
    <row r="600" spans="5:6">
      <c r="E600"/>
      <c r="F600"/>
    </row>
    <row r="601" spans="5:6">
      <c r="E601"/>
      <c r="F601"/>
    </row>
    <row r="602" spans="5:6">
      <c r="E602"/>
      <c r="F602"/>
    </row>
    <row r="603" spans="5:6">
      <c r="E603"/>
      <c r="F603"/>
    </row>
    <row r="604" spans="5:6">
      <c r="E604"/>
      <c r="F604"/>
    </row>
    <row r="605" spans="5:6">
      <c r="E605"/>
      <c r="F605"/>
    </row>
    <row r="606" spans="5:6">
      <c r="E606"/>
      <c r="F606"/>
    </row>
    <row r="607" spans="5:6">
      <c r="E607"/>
      <c r="F607"/>
    </row>
    <row r="608" spans="5:6">
      <c r="E608"/>
      <c r="F608"/>
    </row>
    <row r="609" spans="5:6">
      <c r="E609"/>
      <c r="F609"/>
    </row>
    <row r="610" spans="5:6">
      <c r="E610"/>
      <c r="F610"/>
    </row>
    <row r="611" spans="5:6">
      <c r="E611"/>
      <c r="F611"/>
    </row>
    <row r="612" spans="5:6">
      <c r="E612"/>
      <c r="F612"/>
    </row>
    <row r="613" spans="5:6">
      <c r="E613"/>
      <c r="F613"/>
    </row>
    <row r="614" spans="5:6">
      <c r="E614"/>
      <c r="F614"/>
    </row>
    <row r="615" spans="5:6">
      <c r="E615"/>
      <c r="F615"/>
    </row>
    <row r="616" spans="5:6">
      <c r="E616"/>
      <c r="F616"/>
    </row>
    <row r="617" spans="5:6">
      <c r="E617"/>
      <c r="F617"/>
    </row>
    <row r="618" spans="5:6">
      <c r="E618"/>
      <c r="F618"/>
    </row>
    <row r="619" spans="5:6">
      <c r="E619"/>
      <c r="F619"/>
    </row>
    <row r="620" spans="5:6">
      <c r="E620"/>
      <c r="F620"/>
    </row>
    <row r="621" spans="5:6">
      <c r="E621"/>
      <c r="F621"/>
    </row>
    <row r="622" spans="5:6">
      <c r="E622"/>
      <c r="F622"/>
    </row>
    <row r="623" spans="5:6">
      <c r="E623"/>
      <c r="F623"/>
    </row>
    <row r="624" spans="5:6">
      <c r="E624"/>
      <c r="F624"/>
    </row>
    <row r="625" spans="5:6">
      <c r="E625"/>
      <c r="F625"/>
    </row>
    <row r="626" spans="5:6">
      <c r="E626"/>
      <c r="F626"/>
    </row>
    <row r="627" spans="5:6">
      <c r="E627"/>
      <c r="F627"/>
    </row>
    <row r="628" spans="5:6">
      <c r="E628"/>
      <c r="F628"/>
    </row>
    <row r="629" spans="5:6">
      <c r="E629"/>
      <c r="F629"/>
    </row>
    <row r="630" spans="5:6">
      <c r="E630"/>
      <c r="F630"/>
    </row>
    <row r="631" spans="5:6">
      <c r="E631"/>
      <c r="F631"/>
    </row>
    <row r="632" spans="5:6">
      <c r="E632"/>
      <c r="F632"/>
    </row>
    <row r="633" spans="5:6">
      <c r="E633"/>
      <c r="F633"/>
    </row>
    <row r="634" spans="5:6">
      <c r="E634"/>
      <c r="F634"/>
    </row>
    <row r="635" spans="5:6">
      <c r="E635"/>
      <c r="F635"/>
    </row>
    <row r="636" spans="5:6">
      <c r="E636"/>
      <c r="F636"/>
    </row>
    <row r="637" spans="5:6">
      <c r="E637"/>
      <c r="F637"/>
    </row>
    <row r="638" spans="5:6">
      <c r="E638"/>
      <c r="F638"/>
    </row>
    <row r="639" spans="5:6">
      <c r="E639"/>
      <c r="F639"/>
    </row>
    <row r="640" spans="5:6">
      <c r="E640"/>
      <c r="F640"/>
    </row>
    <row r="641" spans="5:6">
      <c r="E641"/>
      <c r="F641"/>
    </row>
    <row r="642" spans="5:6">
      <c r="E642"/>
      <c r="F642"/>
    </row>
    <row r="643" spans="5:6">
      <c r="E643"/>
      <c r="F643"/>
    </row>
    <row r="644" spans="5:6">
      <c r="E644"/>
      <c r="F644"/>
    </row>
    <row r="645" spans="5:6">
      <c r="E645"/>
      <c r="F645"/>
    </row>
    <row r="646" spans="5:6">
      <c r="E646"/>
      <c r="F646"/>
    </row>
    <row r="647" spans="5:6">
      <c r="E647"/>
      <c r="F647"/>
    </row>
    <row r="648" spans="5:6">
      <c r="E648"/>
      <c r="F648"/>
    </row>
    <row r="649" spans="5:6">
      <c r="E649"/>
      <c r="F649"/>
    </row>
    <row r="650" spans="5:6">
      <c r="E650"/>
      <c r="F650"/>
    </row>
    <row r="651" spans="5:6">
      <c r="E651"/>
      <c r="F651"/>
    </row>
    <row r="652" spans="5:6">
      <c r="E652"/>
      <c r="F652"/>
    </row>
    <row r="653" spans="5:6">
      <c r="E653"/>
      <c r="F653"/>
    </row>
    <row r="654" spans="5:6">
      <c r="E654"/>
      <c r="F654"/>
    </row>
    <row r="655" spans="5:6">
      <c r="E655"/>
      <c r="F655"/>
    </row>
    <row r="656" spans="5:6">
      <c r="E656"/>
      <c r="F656"/>
    </row>
    <row r="657" spans="5:6">
      <c r="E657"/>
      <c r="F657"/>
    </row>
    <row r="658" spans="5:6">
      <c r="E658"/>
      <c r="F658"/>
    </row>
    <row r="659" spans="5:6">
      <c r="E659"/>
      <c r="F659"/>
    </row>
    <row r="660" spans="5:6">
      <c r="E660"/>
      <c r="F660"/>
    </row>
    <row r="661" spans="5:6">
      <c r="E661"/>
      <c r="F661"/>
    </row>
    <row r="662" spans="5:6">
      <c r="E662"/>
      <c r="F662"/>
    </row>
    <row r="663" spans="5:6">
      <c r="E663"/>
      <c r="F663"/>
    </row>
    <row r="664" spans="5:6">
      <c r="E664"/>
      <c r="F664"/>
    </row>
    <row r="665" spans="5:6">
      <c r="E665"/>
      <c r="F665"/>
    </row>
    <row r="666" spans="5:6">
      <c r="E666"/>
      <c r="F666"/>
    </row>
    <row r="667" spans="5:6">
      <c r="E667"/>
      <c r="F667"/>
    </row>
    <row r="668" spans="5:6">
      <c r="E668"/>
      <c r="F668"/>
    </row>
    <row r="669" spans="5:6">
      <c r="E669"/>
      <c r="F669"/>
    </row>
    <row r="670" spans="5:6">
      <c r="E670"/>
      <c r="F670"/>
    </row>
    <row r="671" spans="5:6">
      <c r="E671"/>
      <c r="F671"/>
    </row>
    <row r="672" spans="5:6">
      <c r="E672"/>
      <c r="F672"/>
    </row>
    <row r="673" spans="5:6">
      <c r="E673"/>
      <c r="F673"/>
    </row>
    <row r="674" spans="5:6">
      <c r="E674"/>
      <c r="F674"/>
    </row>
    <row r="675" spans="5:6">
      <c r="E675"/>
      <c r="F675"/>
    </row>
    <row r="676" spans="5:6">
      <c r="E676"/>
      <c r="F676"/>
    </row>
    <row r="677" spans="5:6">
      <c r="E677"/>
      <c r="F677"/>
    </row>
    <row r="678" spans="5:6">
      <c r="E678"/>
      <c r="F678"/>
    </row>
    <row r="679" spans="5:6">
      <c r="E679"/>
      <c r="F679"/>
    </row>
    <row r="680" spans="5:6">
      <c r="E680"/>
      <c r="F680"/>
    </row>
    <row r="681" spans="5:6">
      <c r="E681"/>
      <c r="F681"/>
    </row>
    <row r="682" spans="5:6">
      <c r="E682"/>
      <c r="F682"/>
    </row>
    <row r="683" spans="5:6">
      <c r="E683"/>
      <c r="F683"/>
    </row>
    <row r="684" spans="5:6">
      <c r="E684"/>
      <c r="F684"/>
    </row>
    <row r="685" spans="5:6">
      <c r="E685"/>
      <c r="F685"/>
    </row>
    <row r="686" spans="5:6">
      <c r="E686"/>
      <c r="F686"/>
    </row>
    <row r="687" spans="5:6">
      <c r="E687"/>
      <c r="F687"/>
    </row>
    <row r="688" spans="5:6">
      <c r="E688"/>
      <c r="F688"/>
    </row>
    <row r="689" spans="5:6">
      <c r="E689"/>
      <c r="F689"/>
    </row>
    <row r="690" spans="5:6">
      <c r="E690"/>
      <c r="F690"/>
    </row>
    <row r="691" spans="5:6">
      <c r="E691"/>
      <c r="F691"/>
    </row>
    <row r="692" spans="5:6">
      <c r="E692"/>
      <c r="F692"/>
    </row>
    <row r="693" spans="5:6">
      <c r="E693"/>
      <c r="F693"/>
    </row>
    <row r="694" spans="5:6">
      <c r="E694"/>
      <c r="F694"/>
    </row>
    <row r="695" spans="5:6">
      <c r="E695"/>
      <c r="F695"/>
    </row>
    <row r="696" spans="5:6">
      <c r="E696"/>
      <c r="F696"/>
    </row>
    <row r="697" spans="5:6">
      <c r="E697"/>
      <c r="F697"/>
    </row>
    <row r="698" spans="5:6">
      <c r="E698"/>
      <c r="F698"/>
    </row>
    <row r="699" spans="5:6">
      <c r="E699"/>
      <c r="F699"/>
    </row>
    <row r="700" spans="5:6">
      <c r="E700"/>
      <c r="F700"/>
    </row>
    <row r="701" spans="5:6">
      <c r="E701"/>
      <c r="F701"/>
    </row>
    <row r="702" spans="5:6">
      <c r="E702"/>
      <c r="F702"/>
    </row>
    <row r="703" spans="5:6">
      <c r="E703"/>
      <c r="F703"/>
    </row>
    <row r="704" spans="5:6">
      <c r="E704"/>
      <c r="F704"/>
    </row>
    <row r="705" spans="5:6">
      <c r="E705"/>
      <c r="F705"/>
    </row>
    <row r="706" spans="5:6">
      <c r="E706"/>
      <c r="F706"/>
    </row>
    <row r="707" spans="5:6">
      <c r="E707"/>
      <c r="F707"/>
    </row>
    <row r="708" spans="5:6">
      <c r="E708"/>
      <c r="F708"/>
    </row>
    <row r="709" spans="5:6">
      <c r="E709"/>
      <c r="F709"/>
    </row>
    <row r="710" spans="5:6">
      <c r="E710"/>
      <c r="F710"/>
    </row>
    <row r="711" spans="5:6">
      <c r="E711"/>
      <c r="F711"/>
    </row>
    <row r="712" spans="5:6">
      <c r="E712"/>
      <c r="F712"/>
    </row>
    <row r="713" spans="5:6">
      <c r="E713"/>
      <c r="F713"/>
    </row>
    <row r="714" spans="5:6">
      <c r="E714"/>
      <c r="F714"/>
    </row>
    <row r="715" spans="5:6">
      <c r="E715"/>
      <c r="F715"/>
    </row>
    <row r="716" spans="5:6">
      <c r="E716"/>
      <c r="F716"/>
    </row>
    <row r="717" spans="5:6">
      <c r="E717"/>
      <c r="F717"/>
    </row>
    <row r="718" spans="5:6">
      <c r="E718"/>
      <c r="F718"/>
    </row>
    <row r="719" spans="5:6">
      <c r="E719"/>
      <c r="F719"/>
    </row>
    <row r="720" spans="5:6">
      <c r="E720"/>
      <c r="F720"/>
    </row>
    <row r="721" spans="5:6">
      <c r="E721"/>
      <c r="F721"/>
    </row>
    <row r="722" spans="5:6">
      <c r="E722"/>
      <c r="F722"/>
    </row>
    <row r="723" spans="5:6">
      <c r="E723"/>
      <c r="F723"/>
    </row>
    <row r="724" spans="5:6">
      <c r="E724"/>
      <c r="F724"/>
    </row>
    <row r="725" spans="5:6">
      <c r="E725"/>
      <c r="F725"/>
    </row>
    <row r="726" spans="5:6">
      <c r="E726"/>
      <c r="F726"/>
    </row>
    <row r="727" spans="5:6">
      <c r="E727"/>
      <c r="F727"/>
    </row>
    <row r="728" spans="5:6">
      <c r="E728"/>
      <c r="F728"/>
    </row>
    <row r="729" spans="5:6">
      <c r="E729"/>
      <c r="F729"/>
    </row>
    <row r="730" spans="5:6">
      <c r="E730"/>
      <c r="F730"/>
    </row>
    <row r="731" spans="5:6">
      <c r="E731"/>
      <c r="F731"/>
    </row>
    <row r="732" spans="5:6">
      <c r="E732"/>
      <c r="F732"/>
    </row>
    <row r="733" spans="5:6">
      <c r="E733"/>
      <c r="F733"/>
    </row>
    <row r="734" spans="5:6">
      <c r="E734"/>
      <c r="F734"/>
    </row>
    <row r="735" spans="5:6">
      <c r="E735"/>
      <c r="F735"/>
    </row>
    <row r="736" spans="5:6">
      <c r="E736"/>
      <c r="F736"/>
    </row>
    <row r="737" spans="5:6">
      <c r="E737"/>
      <c r="F737"/>
    </row>
    <row r="738" spans="5:6">
      <c r="E738"/>
      <c r="F738"/>
    </row>
    <row r="739" spans="5:6">
      <c r="E739"/>
      <c r="F739"/>
    </row>
    <row r="740" spans="5:6">
      <c r="E740"/>
      <c r="F740"/>
    </row>
    <row r="741" spans="5:6">
      <c r="E741"/>
      <c r="F741"/>
    </row>
    <row r="742" spans="5:6">
      <c r="E742"/>
      <c r="F742"/>
    </row>
    <row r="743" spans="5:6">
      <c r="E743"/>
      <c r="F743"/>
    </row>
    <row r="744" spans="5:6">
      <c r="E744"/>
      <c r="F744"/>
    </row>
    <row r="745" spans="5:6">
      <c r="E745"/>
      <c r="F745"/>
    </row>
    <row r="746" spans="5:6">
      <c r="E746"/>
      <c r="F746"/>
    </row>
    <row r="747" spans="5:6">
      <c r="E747"/>
      <c r="F747"/>
    </row>
    <row r="748" spans="5:6">
      <c r="E748"/>
      <c r="F748"/>
    </row>
    <row r="749" spans="5:6">
      <c r="E749"/>
      <c r="F749"/>
    </row>
    <row r="750" spans="5:6">
      <c r="E750"/>
      <c r="F750"/>
    </row>
    <row r="751" spans="5:6">
      <c r="E751"/>
      <c r="F751"/>
    </row>
    <row r="752" spans="5:6">
      <c r="E752"/>
      <c r="F752"/>
    </row>
    <row r="753" spans="5:6">
      <c r="E753"/>
      <c r="F753"/>
    </row>
    <row r="754" spans="5:6">
      <c r="E754"/>
      <c r="F754"/>
    </row>
    <row r="755" spans="5:6">
      <c r="E755"/>
      <c r="F755"/>
    </row>
    <row r="756" spans="5:6">
      <c r="E756"/>
      <c r="F756"/>
    </row>
    <row r="757" spans="5:6">
      <c r="E757"/>
      <c r="F757"/>
    </row>
    <row r="758" spans="5:6">
      <c r="E758"/>
      <c r="F758"/>
    </row>
    <row r="759" spans="5:6">
      <c r="E759"/>
      <c r="F759"/>
    </row>
    <row r="760" spans="5:6">
      <c r="E760"/>
      <c r="F760"/>
    </row>
    <row r="761" spans="5:6">
      <c r="E761"/>
      <c r="F761"/>
    </row>
    <row r="762" spans="5:6">
      <c r="E762"/>
      <c r="F762"/>
    </row>
    <row r="763" spans="5:6">
      <c r="E763"/>
      <c r="F763"/>
    </row>
    <row r="764" spans="5:6">
      <c r="E764"/>
      <c r="F764"/>
    </row>
    <row r="765" spans="5:6">
      <c r="E765"/>
      <c r="F765"/>
    </row>
    <row r="766" spans="5:6">
      <c r="E766"/>
      <c r="F766"/>
    </row>
    <row r="767" spans="5:6">
      <c r="E767"/>
      <c r="F767"/>
    </row>
    <row r="768" spans="5:6">
      <c r="E768"/>
      <c r="F768"/>
    </row>
    <row r="769" spans="5:6">
      <c r="E769"/>
      <c r="F769"/>
    </row>
    <row r="770" spans="5:6">
      <c r="E770"/>
      <c r="F770"/>
    </row>
    <row r="771" spans="5:6">
      <c r="E771"/>
      <c r="F771"/>
    </row>
    <row r="772" spans="5:6">
      <c r="E772"/>
      <c r="F772"/>
    </row>
    <row r="773" spans="5:6">
      <c r="E773"/>
      <c r="F773"/>
    </row>
    <row r="774" spans="5:6">
      <c r="E774"/>
      <c r="F774"/>
    </row>
    <row r="775" spans="5:6">
      <c r="E775"/>
      <c r="F775"/>
    </row>
    <row r="776" spans="5:6">
      <c r="E776"/>
      <c r="F776"/>
    </row>
    <row r="777" spans="5:6">
      <c r="E777"/>
      <c r="F777"/>
    </row>
    <row r="778" spans="5:6">
      <c r="E778"/>
      <c r="F778"/>
    </row>
    <row r="779" spans="5:6">
      <c r="E779"/>
      <c r="F779"/>
    </row>
    <row r="780" spans="5:6">
      <c r="E780"/>
      <c r="F780"/>
    </row>
    <row r="781" spans="5:6">
      <c r="E781"/>
      <c r="F781"/>
    </row>
    <row r="782" spans="5:6">
      <c r="E782"/>
      <c r="F782"/>
    </row>
    <row r="783" spans="5:6">
      <c r="E783"/>
      <c r="F783"/>
    </row>
    <row r="784" spans="5:6">
      <c r="E784"/>
      <c r="F784"/>
    </row>
    <row r="785" spans="5:6">
      <c r="E785"/>
      <c r="F785"/>
    </row>
    <row r="786" spans="5:6">
      <c r="E786"/>
      <c r="F786"/>
    </row>
    <row r="787" spans="5:6">
      <c r="E787"/>
      <c r="F787"/>
    </row>
    <row r="788" spans="5:6">
      <c r="E788"/>
      <c r="F788"/>
    </row>
    <row r="789" spans="5:6">
      <c r="E789"/>
      <c r="F789"/>
    </row>
    <row r="790" spans="5:6">
      <c r="E790"/>
      <c r="F790"/>
    </row>
    <row r="791" spans="5:6">
      <c r="E791"/>
      <c r="F791"/>
    </row>
    <row r="792" spans="5:6">
      <c r="E792"/>
      <c r="F792"/>
    </row>
    <row r="793" spans="5:6">
      <c r="E793"/>
      <c r="F793"/>
    </row>
    <row r="794" spans="5:6">
      <c r="E794"/>
      <c r="F794"/>
    </row>
    <row r="795" spans="5:6">
      <c r="E795"/>
      <c r="F795"/>
    </row>
    <row r="796" spans="5:6">
      <c r="E796"/>
      <c r="F796"/>
    </row>
    <row r="797" spans="5:6">
      <c r="E797"/>
      <c r="F797"/>
    </row>
    <row r="798" spans="5:6">
      <c r="E798"/>
      <c r="F798"/>
    </row>
    <row r="799" spans="5:6">
      <c r="E799"/>
      <c r="F799"/>
    </row>
    <row r="800" spans="5:6">
      <c r="E800"/>
      <c r="F800"/>
    </row>
    <row r="801" spans="5:6">
      <c r="E801"/>
      <c r="F801"/>
    </row>
    <row r="802" spans="5:6">
      <c r="E802"/>
      <c r="F802"/>
    </row>
    <row r="803" spans="5:6">
      <c r="E803"/>
      <c r="F803"/>
    </row>
    <row r="804" spans="5:6">
      <c r="E804"/>
      <c r="F804"/>
    </row>
    <row r="805" spans="5:6">
      <c r="E805"/>
      <c r="F805"/>
    </row>
    <row r="806" spans="5:6">
      <c r="E806"/>
      <c r="F806"/>
    </row>
    <row r="807" spans="5:6">
      <c r="E807"/>
      <c r="F807"/>
    </row>
    <row r="808" spans="5:6">
      <c r="E808"/>
      <c r="F808"/>
    </row>
    <row r="809" spans="5:6">
      <c r="E809"/>
      <c r="F809"/>
    </row>
    <row r="810" spans="5:6">
      <c r="E810"/>
      <c r="F810"/>
    </row>
    <row r="811" spans="5:6">
      <c r="E811"/>
      <c r="F811"/>
    </row>
    <row r="812" spans="5:6">
      <c r="E812"/>
      <c r="F812"/>
    </row>
    <row r="813" spans="5:6">
      <c r="E813"/>
      <c r="F813"/>
    </row>
    <row r="814" spans="5:6">
      <c r="E814"/>
      <c r="F814"/>
    </row>
    <row r="815" spans="5:6">
      <c r="E815"/>
      <c r="F815"/>
    </row>
    <row r="816" spans="5:6">
      <c r="E816"/>
      <c r="F816"/>
    </row>
    <row r="817" spans="5:6">
      <c r="E817"/>
      <c r="F817"/>
    </row>
    <row r="818" spans="5:6">
      <c r="E818"/>
      <c r="F818"/>
    </row>
    <row r="819" spans="5:6">
      <c r="E819"/>
      <c r="F819"/>
    </row>
    <row r="820" spans="5:6">
      <c r="E820"/>
      <c r="F820"/>
    </row>
    <row r="821" spans="5:6">
      <c r="E821"/>
      <c r="F821"/>
    </row>
    <row r="822" spans="5:6">
      <c r="E822"/>
      <c r="F822"/>
    </row>
    <row r="823" spans="5:6">
      <c r="E823"/>
      <c r="F823"/>
    </row>
    <row r="824" spans="5:6">
      <c r="E824"/>
      <c r="F824"/>
    </row>
    <row r="825" spans="5:6">
      <c r="E825"/>
      <c r="F825"/>
    </row>
    <row r="826" spans="5:6">
      <c r="E826"/>
      <c r="F826"/>
    </row>
    <row r="827" spans="5:6">
      <c r="E827"/>
      <c r="F827"/>
    </row>
    <row r="828" spans="5:6">
      <c r="E828"/>
      <c r="F828"/>
    </row>
    <row r="829" spans="5:6">
      <c r="E829"/>
      <c r="F829"/>
    </row>
    <row r="830" spans="5:6">
      <c r="E830"/>
      <c r="F830"/>
    </row>
    <row r="831" spans="5:6">
      <c r="E831"/>
      <c r="F831"/>
    </row>
    <row r="832" spans="5:6">
      <c r="E832"/>
      <c r="F832"/>
    </row>
    <row r="833" spans="5:6">
      <c r="E833"/>
      <c r="F833"/>
    </row>
    <row r="834" spans="5:6">
      <c r="E834"/>
      <c r="F834"/>
    </row>
    <row r="835" spans="5:6">
      <c r="E835"/>
      <c r="F835"/>
    </row>
    <row r="836" spans="5:6">
      <c r="E836"/>
      <c r="F836"/>
    </row>
    <row r="837" spans="5:6">
      <c r="E837"/>
      <c r="F837"/>
    </row>
    <row r="838" spans="5:6">
      <c r="E838"/>
      <c r="F838"/>
    </row>
    <row r="839" spans="5:6">
      <c r="E839"/>
      <c r="F839"/>
    </row>
    <row r="840" spans="5:6">
      <c r="E840"/>
      <c r="F840"/>
    </row>
    <row r="841" spans="5:6">
      <c r="E841"/>
      <c r="F841"/>
    </row>
    <row r="842" spans="5:6">
      <c r="E842"/>
      <c r="F842"/>
    </row>
    <row r="843" spans="5:6">
      <c r="E843"/>
      <c r="F843"/>
    </row>
    <row r="844" spans="5:6">
      <c r="E844"/>
      <c r="F844"/>
    </row>
    <row r="845" spans="5:6">
      <c r="E845"/>
      <c r="F845"/>
    </row>
    <row r="846" spans="5:6">
      <c r="E846"/>
      <c r="F846"/>
    </row>
    <row r="847" spans="5:6">
      <c r="E847"/>
      <c r="F847"/>
    </row>
    <row r="848" spans="5:6">
      <c r="E848"/>
      <c r="F848"/>
    </row>
    <row r="849" spans="5:6">
      <c r="E849"/>
      <c r="F849"/>
    </row>
    <row r="850" spans="5:6">
      <c r="E850"/>
      <c r="F850"/>
    </row>
    <row r="851" spans="5:6">
      <c r="E851"/>
      <c r="F851"/>
    </row>
    <row r="852" spans="5:6">
      <c r="E852"/>
      <c r="F852"/>
    </row>
    <row r="853" spans="5:6">
      <c r="E853"/>
      <c r="F853"/>
    </row>
    <row r="854" spans="5:6">
      <c r="E854"/>
      <c r="F854"/>
    </row>
    <row r="855" spans="5:6">
      <c r="E855"/>
      <c r="F855"/>
    </row>
    <row r="856" spans="5:6">
      <c r="E856"/>
      <c r="F856"/>
    </row>
    <row r="857" spans="5:6">
      <c r="E857"/>
      <c r="F857"/>
    </row>
    <row r="858" spans="5:6">
      <c r="E858"/>
      <c r="F858"/>
    </row>
    <row r="859" spans="5:6">
      <c r="E859"/>
      <c r="F859"/>
    </row>
    <row r="860" spans="5:6">
      <c r="E860"/>
      <c r="F860"/>
    </row>
    <row r="861" spans="5:6">
      <c r="E861"/>
      <c r="F861"/>
    </row>
    <row r="862" spans="5:6">
      <c r="E862"/>
      <c r="F862"/>
    </row>
    <row r="863" spans="5:6">
      <c r="E863"/>
      <c r="F863"/>
    </row>
    <row r="864" spans="5:6">
      <c r="E864"/>
      <c r="F864"/>
    </row>
    <row r="865" spans="5:6">
      <c r="E865"/>
      <c r="F865"/>
    </row>
    <row r="866" spans="5:6">
      <c r="E866"/>
      <c r="F866"/>
    </row>
    <row r="867" spans="5:6">
      <c r="E867"/>
      <c r="F867"/>
    </row>
    <row r="868" spans="5:6">
      <c r="E868"/>
      <c r="F868"/>
    </row>
    <row r="869" spans="5:6">
      <c r="E869"/>
      <c r="F869"/>
    </row>
    <row r="870" spans="5:6">
      <c r="E870"/>
      <c r="F870"/>
    </row>
    <row r="871" spans="5:6">
      <c r="E871"/>
      <c r="F871"/>
    </row>
    <row r="872" spans="5:6">
      <c r="E872"/>
      <c r="F872"/>
    </row>
    <row r="873" spans="5:6">
      <c r="E873"/>
      <c r="F873"/>
    </row>
    <row r="874" spans="5:6">
      <c r="E874"/>
      <c r="F874"/>
    </row>
    <row r="875" spans="5:6">
      <c r="E875"/>
      <c r="F875"/>
    </row>
    <row r="876" spans="5:6">
      <c r="E876"/>
      <c r="F876"/>
    </row>
    <row r="877" spans="5:6">
      <c r="E877"/>
      <c r="F877"/>
    </row>
    <row r="878" spans="5:6">
      <c r="E878"/>
      <c r="F878"/>
    </row>
    <row r="879" spans="5:6">
      <c r="E879"/>
      <c r="F879"/>
    </row>
    <row r="880" spans="5:6">
      <c r="E880"/>
      <c r="F880"/>
    </row>
    <row r="881" spans="5:6">
      <c r="E881"/>
      <c r="F881"/>
    </row>
    <row r="882" spans="5:6">
      <c r="E882"/>
      <c r="F882"/>
    </row>
    <row r="883" spans="5:6">
      <c r="E883"/>
      <c r="F883"/>
    </row>
    <row r="884" spans="5:6">
      <c r="E884"/>
      <c r="F884"/>
    </row>
    <row r="885" spans="5:6">
      <c r="E885"/>
      <c r="F885"/>
    </row>
    <row r="886" spans="5:6">
      <c r="E886"/>
      <c r="F886"/>
    </row>
    <row r="887" spans="5:6">
      <c r="E887"/>
      <c r="F887"/>
    </row>
    <row r="888" spans="5:6">
      <c r="E888"/>
      <c r="F888"/>
    </row>
    <row r="889" spans="5:6">
      <c r="E889"/>
      <c r="F889"/>
    </row>
    <row r="890" spans="5:6">
      <c r="E890"/>
      <c r="F890"/>
    </row>
    <row r="891" spans="5:6">
      <c r="E891"/>
      <c r="F891"/>
    </row>
    <row r="892" spans="5:6">
      <c r="E892"/>
      <c r="F892"/>
    </row>
    <row r="893" spans="5:6">
      <c r="E893"/>
      <c r="F893"/>
    </row>
    <row r="894" spans="5:6">
      <c r="E894"/>
      <c r="F894"/>
    </row>
    <row r="895" spans="5:6">
      <c r="E895"/>
      <c r="F895"/>
    </row>
    <row r="896" spans="5:6">
      <c r="E896"/>
      <c r="F896"/>
    </row>
    <row r="897" spans="5:6">
      <c r="E897"/>
      <c r="F897"/>
    </row>
    <row r="898" spans="5:6">
      <c r="E898"/>
      <c r="F898"/>
    </row>
    <row r="899" spans="5:6">
      <c r="E899"/>
      <c r="F899"/>
    </row>
    <row r="900" spans="5:6">
      <c r="E900"/>
      <c r="F900"/>
    </row>
    <row r="901" spans="5:6">
      <c r="E901"/>
      <c r="F901"/>
    </row>
    <row r="902" spans="5:6">
      <c r="E902"/>
      <c r="F902"/>
    </row>
    <row r="903" spans="5:6">
      <c r="E903"/>
      <c r="F903"/>
    </row>
    <row r="904" spans="5:6">
      <c r="E904"/>
      <c r="F904"/>
    </row>
    <row r="905" spans="5:6">
      <c r="E905"/>
      <c r="F905"/>
    </row>
    <row r="906" spans="5:6">
      <c r="E906"/>
      <c r="F906"/>
    </row>
    <row r="907" spans="5:6">
      <c r="E907"/>
      <c r="F907"/>
    </row>
    <row r="908" spans="5:6">
      <c r="E908"/>
      <c r="F908"/>
    </row>
    <row r="909" spans="5:6">
      <c r="E909"/>
      <c r="F909"/>
    </row>
    <row r="910" spans="5:6">
      <c r="E910"/>
      <c r="F910"/>
    </row>
    <row r="911" spans="5:6">
      <c r="E911"/>
      <c r="F911"/>
    </row>
    <row r="912" spans="5:6">
      <c r="E912"/>
      <c r="F912"/>
    </row>
    <row r="913" spans="5:6">
      <c r="E913"/>
      <c r="F913"/>
    </row>
    <row r="914" spans="5:6">
      <c r="E914"/>
      <c r="F914"/>
    </row>
    <row r="915" spans="5:6">
      <c r="E915"/>
      <c r="F915"/>
    </row>
    <row r="916" spans="5:6">
      <c r="E916"/>
      <c r="F916"/>
    </row>
    <row r="917" spans="5:6">
      <c r="E917"/>
      <c r="F917"/>
    </row>
    <row r="918" spans="5:6">
      <c r="E918"/>
      <c r="F918"/>
    </row>
    <row r="919" spans="5:6">
      <c r="E919"/>
      <c r="F919"/>
    </row>
    <row r="920" spans="5:6">
      <c r="E920"/>
      <c r="F920"/>
    </row>
    <row r="921" spans="5:6">
      <c r="E921"/>
      <c r="F921"/>
    </row>
    <row r="922" spans="5:6">
      <c r="E922"/>
      <c r="F922"/>
    </row>
    <row r="923" spans="5:6">
      <c r="E923"/>
      <c r="F923"/>
    </row>
    <row r="924" spans="5:6">
      <c r="E924"/>
      <c r="F924"/>
    </row>
    <row r="925" spans="5:6">
      <c r="E925"/>
      <c r="F925"/>
    </row>
    <row r="926" spans="5:6">
      <c r="E926"/>
      <c r="F926"/>
    </row>
  </sheetData>
  <mergeCells count="3">
    <mergeCell ref="H7:I7"/>
    <mergeCell ref="K10:M10"/>
    <mergeCell ref="K15:L1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03DF-4F95-4ECD-9A50-3E881294BED8}">
  <dimension ref="B2:DP41"/>
  <sheetViews>
    <sheetView showGridLines="0" zoomScale="90" zoomScaleNormal="90" workbookViewId="0">
      <selection activeCell="H43" sqref="H43"/>
    </sheetView>
  </sheetViews>
  <sheetFormatPr defaultRowHeight="14.5"/>
  <cols>
    <col min="1" max="1" width="8.08984375" customWidth="1"/>
    <col min="2" max="2" width="32.90625" bestFit="1" customWidth="1"/>
    <col min="3" max="3" width="14.08984375" bestFit="1" customWidth="1"/>
    <col min="4" max="4" width="14.1796875" bestFit="1" customWidth="1"/>
    <col min="5" max="6" width="11.453125" customWidth="1"/>
    <col min="7" max="7" width="17.6328125" customWidth="1"/>
    <col min="8" max="16" width="12.54296875" customWidth="1"/>
    <col min="17" max="17" width="15.36328125" bestFit="1" customWidth="1"/>
    <col min="18" max="18" width="12.54296875" customWidth="1"/>
    <col min="19" max="19" width="15.36328125" bestFit="1" customWidth="1"/>
    <col min="20" max="26" width="12.54296875" customWidth="1"/>
    <col min="27" max="27" width="19.81640625" bestFit="1" customWidth="1"/>
    <col min="46" max="50" width="5" bestFit="1" customWidth="1"/>
  </cols>
  <sheetData>
    <row r="2" spans="2:120">
      <c r="B2" s="170" t="s">
        <v>174</v>
      </c>
      <c r="C2" s="171">
        <v>2025</v>
      </c>
      <c r="D2" s="171">
        <v>2026</v>
      </c>
      <c r="E2" s="171">
        <v>2027</v>
      </c>
      <c r="F2" s="171">
        <v>2028</v>
      </c>
      <c r="G2" s="171">
        <v>2029</v>
      </c>
      <c r="H2" s="171">
        <v>2030</v>
      </c>
      <c r="I2" s="171">
        <v>2031</v>
      </c>
      <c r="J2" s="171">
        <v>2032</v>
      </c>
      <c r="K2" s="171">
        <v>2033</v>
      </c>
      <c r="L2" s="171">
        <v>2034</v>
      </c>
      <c r="M2" s="171">
        <v>2035</v>
      </c>
      <c r="N2" s="171">
        <v>2036</v>
      </c>
      <c r="O2" s="171">
        <v>2037</v>
      </c>
      <c r="P2" s="171">
        <v>2038</v>
      </c>
      <c r="Q2" s="171">
        <v>2039</v>
      </c>
      <c r="R2" t="s">
        <v>261</v>
      </c>
    </row>
    <row r="3" spans="2:120">
      <c r="B3" s="172" t="s">
        <v>175</v>
      </c>
      <c r="C3" s="173">
        <f>'Profit &amp; Loss Statement'!J16</f>
        <v>26427</v>
      </c>
      <c r="D3" s="173">
        <f>'Profit &amp; Loss Statement'!K16</f>
        <v>38055</v>
      </c>
      <c r="E3" s="173">
        <f>'Profit &amp; Loss Statement'!L16</f>
        <v>51755</v>
      </c>
      <c r="F3" s="173">
        <f>'Profit &amp; Loss Statement'!M16</f>
        <v>67281</v>
      </c>
      <c r="G3" s="173">
        <f>'Profit &amp; Loss Statement'!N16</f>
        <v>84774</v>
      </c>
      <c r="H3" s="173"/>
    </row>
    <row r="4" spans="2:120">
      <c r="B4" s="172"/>
      <c r="C4" s="173"/>
      <c r="D4" s="173"/>
      <c r="E4" s="173"/>
      <c r="F4" s="173"/>
      <c r="G4" s="173"/>
    </row>
    <row r="5" spans="2:120">
      <c r="B5" s="174" t="s">
        <v>176</v>
      </c>
      <c r="C5" s="175">
        <f>C3*(1-$C$16)</f>
        <v>19775.324099999998</v>
      </c>
      <c r="D5" s="175">
        <f t="shared" ref="D5:G5" si="0">D3*(1-$C$16)</f>
        <v>28476.556499999999</v>
      </c>
      <c r="E5" s="175">
        <f t="shared" si="0"/>
        <v>38728.266499999998</v>
      </c>
      <c r="F5" s="175">
        <f t="shared" si="0"/>
        <v>50346.372299999995</v>
      </c>
      <c r="G5" s="175">
        <f t="shared" si="0"/>
        <v>63436.3842</v>
      </c>
      <c r="H5" s="176"/>
      <c r="I5" s="176"/>
      <c r="J5" s="176"/>
      <c r="K5" s="176"/>
      <c r="L5" s="176"/>
      <c r="M5" s="176"/>
      <c r="N5" s="176"/>
      <c r="O5" s="176"/>
      <c r="P5" s="176"/>
      <c r="Q5" s="176"/>
    </row>
    <row r="6" spans="2:120">
      <c r="B6" s="172" t="s">
        <v>142</v>
      </c>
      <c r="C6" s="173">
        <f>'Profit &amp; Loss Statement'!J11</f>
        <v>6453.3954093502152</v>
      </c>
      <c r="D6" s="173">
        <f>'Profit &amp; Loss Statement'!K11</f>
        <v>6977.0334097070099</v>
      </c>
      <c r="E6" s="173">
        <f>'Profit &amp; Loss Statement'!L11</f>
        <v>8146.8452960930135</v>
      </c>
      <c r="F6" s="173">
        <f>'Profit &amp; Loss Statement'!M11</f>
        <v>9146.1260229708751</v>
      </c>
      <c r="G6" s="173">
        <f>'Profit &amp; Loss Statement'!N11</f>
        <v>10473.12805272782</v>
      </c>
    </row>
    <row r="7" spans="2:120">
      <c r="B7" s="172" t="s">
        <v>143</v>
      </c>
      <c r="C7" s="173">
        <f>-Schedules_Populated!J22</f>
        <v>1217.3735304127604</v>
      </c>
      <c r="D7" s="173">
        <f>-Schedules_Populated!K22</f>
        <v>573.95801960337667</v>
      </c>
      <c r="E7" s="173">
        <f>-Schedules_Populated!L22</f>
        <v>56.37151631766028</v>
      </c>
      <c r="F7" s="173">
        <f>-Schedules_Populated!M22</f>
        <v>-151.08202361382246</v>
      </c>
      <c r="G7" s="173">
        <f>-Schedules_Populated!N22</f>
        <v>253.61227496059109</v>
      </c>
    </row>
    <row r="8" spans="2:120">
      <c r="B8" s="172" t="s">
        <v>177</v>
      </c>
      <c r="C8" s="173">
        <f>-Schedules_Populated!J106</f>
        <v>-7884</v>
      </c>
      <c r="D8" s="173">
        <f>-Schedules_Populated!K106</f>
        <v>-9680.0931140253233</v>
      </c>
      <c r="E8" s="173">
        <f>-Schedules_Populated!L106</f>
        <v>-10465.550114560514</v>
      </c>
      <c r="F8" s="173">
        <f>-Schedules_Populated!M106</f>
        <v>-12220.267944139521</v>
      </c>
      <c r="G8" s="173">
        <f>-Schedules_Populated!N106</f>
        <v>-13719.189034456314</v>
      </c>
    </row>
    <row r="9" spans="2:120">
      <c r="B9" s="177" t="s">
        <v>178</v>
      </c>
      <c r="C9" s="178">
        <f>SUM(C5:C8)</f>
        <v>19562.093039762971</v>
      </c>
      <c r="D9" s="178">
        <f t="shared" ref="D9:G9" si="1">SUM(D5:D8)</f>
        <v>26347.454815285062</v>
      </c>
      <c r="E9" s="178">
        <f t="shared" si="1"/>
        <v>36465.933197850158</v>
      </c>
      <c r="F9" s="178">
        <f t="shared" si="1"/>
        <v>47121.148355217527</v>
      </c>
      <c r="G9" s="178">
        <f t="shared" si="1"/>
        <v>60443.935493232086</v>
      </c>
      <c r="H9" s="179">
        <f>G9*(1+H10)</f>
        <v>80176.372495134332</v>
      </c>
      <c r="I9" s="179">
        <f t="shared" ref="I9:Q9" si="2">H9*(1+I10)</f>
        <v>104169.83410903686</v>
      </c>
      <c r="J9" s="179">
        <f t="shared" si="2"/>
        <v>132510.12376074918</v>
      </c>
      <c r="K9" s="179">
        <f t="shared" si="2"/>
        <v>164956.35496657097</v>
      </c>
      <c r="L9" s="179">
        <f t="shared" si="2"/>
        <v>200860.50908226465</v>
      </c>
      <c r="M9" s="179">
        <f t="shared" si="2"/>
        <v>239116.10196860594</v>
      </c>
      <c r="N9" s="179">
        <f t="shared" si="2"/>
        <v>278153.84002717235</v>
      </c>
      <c r="O9" s="179">
        <f t="shared" si="2"/>
        <v>315999.03651015979</v>
      </c>
      <c r="P9" s="179">
        <f t="shared" si="2"/>
        <v>350398.2201704749</v>
      </c>
      <c r="Q9" s="179">
        <f t="shared" si="2"/>
        <v>379011.21605361626</v>
      </c>
      <c r="R9" t="s">
        <v>173</v>
      </c>
    </row>
    <row r="10" spans="2:120">
      <c r="B10" s="177" t="s">
        <v>179</v>
      </c>
      <c r="C10" s="180"/>
      <c r="D10" s="180">
        <f>D9/C9-1</f>
        <v>0.34686276983397413</v>
      </c>
      <c r="E10" s="180">
        <f t="shared" ref="E10:G10" si="3">E9/D9-1</f>
        <v>0.38404006965769688</v>
      </c>
      <c r="F10" s="181">
        <f t="shared" si="3"/>
        <v>0.29219642068547258</v>
      </c>
      <c r="G10" s="180">
        <f t="shared" si="3"/>
        <v>0.28273477203021913</v>
      </c>
      <c r="H10" s="182">
        <f>AVERAGE(D10:G10)</f>
        <v>0.32645850805184068</v>
      </c>
      <c r="I10" s="182">
        <f>H10-$I$11</f>
        <v>0.29925850805184068</v>
      </c>
      <c r="J10" s="182">
        <f t="shared" ref="J10:R10" si="4">I10-$I$11</f>
        <v>0.27205850805184068</v>
      </c>
      <c r="K10" s="182">
        <f t="shared" si="4"/>
        <v>0.24485850805184067</v>
      </c>
      <c r="L10" s="182">
        <f t="shared" si="4"/>
        <v>0.21765850805184067</v>
      </c>
      <c r="M10" s="182">
        <f t="shared" si="4"/>
        <v>0.19045850805184067</v>
      </c>
      <c r="N10" s="182">
        <f t="shared" si="4"/>
        <v>0.16325850805184067</v>
      </c>
      <c r="O10" s="182">
        <f t="shared" si="4"/>
        <v>0.13605850805184067</v>
      </c>
      <c r="P10" s="182">
        <f t="shared" si="4"/>
        <v>0.10885850805184066</v>
      </c>
      <c r="Q10" s="182">
        <f t="shared" si="4"/>
        <v>8.1658508051840661E-2</v>
      </c>
      <c r="R10" s="182">
        <f t="shared" si="4"/>
        <v>5.4458508051840659E-2</v>
      </c>
      <c r="S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0"/>
      <c r="DB10" s="150"/>
      <c r="DC10" s="150"/>
      <c r="DD10" s="150"/>
      <c r="DE10" s="150"/>
      <c r="DF10" s="150"/>
      <c r="DG10" s="150"/>
      <c r="DH10" s="150"/>
      <c r="DI10" s="150"/>
      <c r="DJ10" s="150"/>
      <c r="DK10" s="150"/>
      <c r="DL10" s="150"/>
      <c r="DM10" s="150"/>
      <c r="DN10" s="150"/>
      <c r="DO10" s="150"/>
      <c r="DP10" s="150"/>
    </row>
    <row r="11" spans="2:120">
      <c r="G11" s="149"/>
      <c r="H11" s="154"/>
      <c r="I11" s="413">
        <v>2.7199999999999998E-2</v>
      </c>
      <c r="R11" s="150"/>
    </row>
    <row r="13" spans="2:120">
      <c r="B13" s="437" t="s">
        <v>180</v>
      </c>
      <c r="C13" s="437"/>
      <c r="D13" s="172"/>
      <c r="E13" s="183"/>
      <c r="F13" s="183"/>
      <c r="G13" s="183"/>
      <c r="H13" s="172"/>
      <c r="I13" s="172"/>
      <c r="J13" s="172"/>
      <c r="K13" s="184"/>
    </row>
    <row r="14" spans="2:120">
      <c r="B14" s="177" t="s">
        <v>181</v>
      </c>
      <c r="C14" s="185">
        <v>45317</v>
      </c>
      <c r="D14" s="172"/>
      <c r="E14" s="183"/>
      <c r="F14" s="183"/>
      <c r="G14" s="183"/>
      <c r="H14" s="172"/>
      <c r="I14" s="172"/>
      <c r="J14" s="172"/>
      <c r="K14" s="172"/>
    </row>
    <row r="15" spans="2:120">
      <c r="B15" s="177" t="s">
        <v>182</v>
      </c>
      <c r="C15" s="185">
        <v>45747</v>
      </c>
      <c r="D15" s="186"/>
      <c r="E15" s="183"/>
      <c r="F15" s="183"/>
      <c r="G15" s="183"/>
      <c r="H15" s="187"/>
      <c r="I15" s="188"/>
      <c r="J15" s="183"/>
      <c r="K15" s="173"/>
    </row>
    <row r="16" spans="2:120">
      <c r="B16" s="177" t="s">
        <v>183</v>
      </c>
      <c r="C16" s="180">
        <v>0.25169999999999998</v>
      </c>
      <c r="D16" s="173"/>
      <c r="E16" s="173"/>
      <c r="F16" s="173"/>
      <c r="G16" s="173"/>
      <c r="H16" s="173"/>
      <c r="I16" s="173"/>
      <c r="J16" s="173"/>
      <c r="K16" s="173"/>
      <c r="S16" s="197"/>
    </row>
    <row r="17" spans="2:22">
      <c r="B17" s="177" t="s">
        <v>158</v>
      </c>
      <c r="C17" s="378">
        <f>WACC!I21</f>
        <v>6.9527935634971907E-2</v>
      </c>
      <c r="D17" s="173"/>
      <c r="E17" s="183"/>
      <c r="F17" s="189"/>
      <c r="G17" s="173"/>
      <c r="H17" s="173"/>
      <c r="I17" s="173"/>
      <c r="J17" s="173"/>
      <c r="K17" s="173"/>
      <c r="S17" s="197"/>
    </row>
    <row r="18" spans="2:22">
      <c r="B18" s="177" t="s">
        <v>173</v>
      </c>
      <c r="C18" s="379">
        <f>WACC!M15</f>
        <v>5.3800000000000001E-2</v>
      </c>
      <c r="D18" s="189"/>
      <c r="E18" s="173"/>
      <c r="F18" s="189"/>
      <c r="G18" s="172"/>
      <c r="H18" s="172"/>
      <c r="I18" s="172"/>
      <c r="J18" s="172"/>
      <c r="K18" s="172"/>
      <c r="M18" s="190"/>
    </row>
    <row r="19" spans="2:22">
      <c r="B19" s="183"/>
      <c r="C19" s="183"/>
      <c r="D19" s="183"/>
      <c r="E19" s="189"/>
      <c r="F19" s="186"/>
      <c r="G19" s="172"/>
      <c r="H19" s="172"/>
      <c r="I19" s="172"/>
      <c r="J19" s="172"/>
      <c r="K19" s="172"/>
    </row>
    <row r="20" spans="2:22">
      <c r="B20" s="170" t="s">
        <v>184</v>
      </c>
      <c r="C20" s="171">
        <f t="shared" ref="C20:Q20" si="5">C2</f>
        <v>2025</v>
      </c>
      <c r="D20" s="171">
        <f t="shared" si="5"/>
        <v>2026</v>
      </c>
      <c r="E20" s="171">
        <f t="shared" si="5"/>
        <v>2027</v>
      </c>
      <c r="F20" s="171">
        <f t="shared" si="5"/>
        <v>2028</v>
      </c>
      <c r="G20" s="171">
        <f t="shared" si="5"/>
        <v>2029</v>
      </c>
      <c r="H20" s="171">
        <f t="shared" si="5"/>
        <v>2030</v>
      </c>
      <c r="I20" s="171">
        <f t="shared" si="5"/>
        <v>2031</v>
      </c>
      <c r="J20" s="171">
        <f t="shared" si="5"/>
        <v>2032</v>
      </c>
      <c r="K20" s="171">
        <f t="shared" si="5"/>
        <v>2033</v>
      </c>
      <c r="L20" s="171">
        <f t="shared" si="5"/>
        <v>2034</v>
      </c>
      <c r="M20" s="171">
        <f t="shared" si="5"/>
        <v>2035</v>
      </c>
      <c r="N20" s="171">
        <f t="shared" si="5"/>
        <v>2036</v>
      </c>
      <c r="O20" s="171">
        <f t="shared" si="5"/>
        <v>2037</v>
      </c>
      <c r="P20" s="171">
        <f t="shared" si="5"/>
        <v>2038</v>
      </c>
      <c r="Q20" s="171">
        <f t="shared" si="5"/>
        <v>2039</v>
      </c>
    </row>
    <row r="21" spans="2:22">
      <c r="B21" s="172" t="s">
        <v>185</v>
      </c>
      <c r="C21" s="226">
        <f>(C15-C14)/365</f>
        <v>1.178082191780822</v>
      </c>
      <c r="D21" s="226">
        <f>C21+1</f>
        <v>2.1780821917808222</v>
      </c>
      <c r="E21" s="226">
        <f t="shared" ref="E21:Q21" si="6">D21+1</f>
        <v>3.1780821917808222</v>
      </c>
      <c r="F21" s="226">
        <f t="shared" si="6"/>
        <v>4.1780821917808222</v>
      </c>
      <c r="G21" s="226">
        <f t="shared" si="6"/>
        <v>5.1780821917808222</v>
      </c>
      <c r="H21" s="226">
        <f t="shared" si="6"/>
        <v>6.1780821917808222</v>
      </c>
      <c r="I21" s="226">
        <f t="shared" si="6"/>
        <v>7.1780821917808222</v>
      </c>
      <c r="J21" s="226">
        <f t="shared" si="6"/>
        <v>8.1780821917808222</v>
      </c>
      <c r="K21" s="226">
        <f t="shared" si="6"/>
        <v>9.1780821917808222</v>
      </c>
      <c r="L21" s="226">
        <f t="shared" si="6"/>
        <v>10.178082191780822</v>
      </c>
      <c r="M21" s="226">
        <f t="shared" si="6"/>
        <v>11.178082191780822</v>
      </c>
      <c r="N21" s="226">
        <f t="shared" si="6"/>
        <v>12.178082191780822</v>
      </c>
      <c r="O21" s="226">
        <f t="shared" si="6"/>
        <v>13.178082191780822</v>
      </c>
      <c r="P21" s="226">
        <f t="shared" si="6"/>
        <v>14.178082191780822</v>
      </c>
      <c r="Q21" s="226">
        <f t="shared" si="6"/>
        <v>15.178082191780822</v>
      </c>
    </row>
    <row r="22" spans="2:22">
      <c r="B22" s="172" t="s">
        <v>178</v>
      </c>
      <c r="C22" s="173">
        <f>C9</f>
        <v>19562.093039762971</v>
      </c>
      <c r="D22" s="173">
        <f t="shared" ref="D22:Q22" si="7">D9</f>
        <v>26347.454815285062</v>
      </c>
      <c r="E22" s="173">
        <f t="shared" si="7"/>
        <v>36465.933197850158</v>
      </c>
      <c r="F22" s="173">
        <f t="shared" si="7"/>
        <v>47121.148355217527</v>
      </c>
      <c r="G22" s="173">
        <f t="shared" si="7"/>
        <v>60443.935493232086</v>
      </c>
      <c r="H22" s="173">
        <f t="shared" si="7"/>
        <v>80176.372495134332</v>
      </c>
      <c r="I22" s="173">
        <f t="shared" si="7"/>
        <v>104169.83410903686</v>
      </c>
      <c r="J22" s="173">
        <f t="shared" si="7"/>
        <v>132510.12376074918</v>
      </c>
      <c r="K22" s="173">
        <f t="shared" si="7"/>
        <v>164956.35496657097</v>
      </c>
      <c r="L22" s="173">
        <f t="shared" si="7"/>
        <v>200860.50908226465</v>
      </c>
      <c r="M22" s="173">
        <f t="shared" si="7"/>
        <v>239116.10196860594</v>
      </c>
      <c r="N22" s="173">
        <f t="shared" si="7"/>
        <v>278153.84002717235</v>
      </c>
      <c r="O22" s="173">
        <f t="shared" si="7"/>
        <v>315999.03651015979</v>
      </c>
      <c r="P22" s="173">
        <f t="shared" si="7"/>
        <v>350398.2201704749</v>
      </c>
      <c r="Q22" s="173">
        <f t="shared" si="7"/>
        <v>379011.21605361626</v>
      </c>
      <c r="R22" s="173"/>
      <c r="S22" s="173"/>
      <c r="T22" s="173"/>
      <c r="U22" s="173"/>
      <c r="V22" s="173"/>
    </row>
    <row r="23" spans="2:22">
      <c r="B23" s="172" t="s">
        <v>186</v>
      </c>
      <c r="C23" s="173">
        <f>C22/(1+$C$17)^C21</f>
        <v>18072.764459639755</v>
      </c>
      <c r="D23" s="173">
        <f t="shared" ref="D23:Q23" si="8">D22/(1+$C$17)^D21</f>
        <v>22759.137735113014</v>
      </c>
      <c r="E23" s="173">
        <f t="shared" si="8"/>
        <v>29451.833399334111</v>
      </c>
      <c r="F23" s="173">
        <f t="shared" si="8"/>
        <v>35583.50598729324</v>
      </c>
      <c r="G23" s="173">
        <f t="shared" si="8"/>
        <v>42676.959544350626</v>
      </c>
      <c r="H23" s="173">
        <f t="shared" si="8"/>
        <v>52929.160800067897</v>
      </c>
      <c r="I23" s="173">
        <f t="shared" si="8"/>
        <v>64298.14519309836</v>
      </c>
      <c r="J23" s="173">
        <f t="shared" si="8"/>
        <v>76473.92828152221</v>
      </c>
      <c r="K23" s="173">
        <f t="shared" si="8"/>
        <v>89010.503693744118</v>
      </c>
      <c r="L23" s="173">
        <f t="shared" si="8"/>
        <v>101338.53779548097</v>
      </c>
      <c r="M23" s="173">
        <f t="shared" si="8"/>
        <v>112796.79613094026</v>
      </c>
      <c r="N23" s="173">
        <f t="shared" si="8"/>
        <v>122682.00615293474</v>
      </c>
      <c r="O23" s="173">
        <f t="shared" si="8"/>
        <v>130313.50769923029</v>
      </c>
      <c r="P23" s="173">
        <f t="shared" si="8"/>
        <v>135105.62642815147</v>
      </c>
      <c r="Q23" s="173">
        <f t="shared" si="8"/>
        <v>136637.9927466994</v>
      </c>
      <c r="R23" s="173"/>
      <c r="S23" s="173"/>
      <c r="T23" s="173"/>
      <c r="U23" s="173"/>
      <c r="V23" s="173"/>
    </row>
    <row r="24" spans="2:22">
      <c r="B24" s="191"/>
      <c r="C24" s="173"/>
      <c r="D24" s="191"/>
      <c r="E24" s="191"/>
      <c r="F24" s="191"/>
      <c r="G24" s="191"/>
      <c r="Q24" s="197">
        <f>Q22*(1+C18)/(C17-C18)</f>
        <v>25394433.748139776</v>
      </c>
    </row>
    <row r="25" spans="2:22">
      <c r="B25" s="192" t="s">
        <v>195</v>
      </c>
      <c r="C25" s="193">
        <f>Q22*(1+C18)/(C17-C18)</f>
        <v>25394433.748139776</v>
      </c>
      <c r="D25" s="194"/>
      <c r="E25" s="191"/>
      <c r="F25" s="191"/>
      <c r="G25" s="191"/>
      <c r="H25" s="191"/>
      <c r="I25" s="191"/>
      <c r="J25" s="427" t="s">
        <v>262</v>
      </c>
      <c r="K25" s="191"/>
      <c r="Q25" s="197"/>
    </row>
    <row r="26" spans="2:22">
      <c r="B26" s="195" t="s">
        <v>187</v>
      </c>
      <c r="C26" s="193">
        <f>SUM(C23:Q23)</f>
        <v>1170130.4060476006</v>
      </c>
      <c r="D26" s="196"/>
      <c r="E26" s="173"/>
      <c r="F26" s="173"/>
      <c r="G26" s="183"/>
      <c r="H26" s="173"/>
      <c r="I26" s="173"/>
      <c r="J26" s="173"/>
      <c r="K26" s="173"/>
    </row>
    <row r="27" spans="2:22" ht="15" thickBot="1">
      <c r="B27" s="195" t="s">
        <v>188</v>
      </c>
      <c r="C27" s="193">
        <f>C25/(1+C17)^Q21</f>
        <v>9154991.4812916908</v>
      </c>
      <c r="D27" s="228"/>
      <c r="E27" s="173"/>
      <c r="F27" s="173"/>
      <c r="G27" s="183"/>
      <c r="H27" s="173"/>
      <c r="I27" s="173"/>
      <c r="J27" s="198"/>
      <c r="K27" s="198"/>
      <c r="L27" s="199"/>
      <c r="M27" s="199"/>
      <c r="N27" s="199"/>
      <c r="O27" s="199"/>
    </row>
    <row r="28" spans="2:22" ht="15" thickBot="1">
      <c r="B28" s="195" t="s">
        <v>189</v>
      </c>
      <c r="C28" s="193">
        <f>C26+C27</f>
        <v>10325121.887339292</v>
      </c>
      <c r="D28" s="194"/>
      <c r="E28" s="173"/>
      <c r="F28" s="173"/>
      <c r="G28" s="183"/>
      <c r="H28" s="173"/>
      <c r="I28" s="173"/>
      <c r="J28" s="200">
        <f>C34</f>
        <v>329192.54568170838</v>
      </c>
      <c r="K28" s="201">
        <f>L28-0.5%</f>
        <v>5.9527935634971905E-2</v>
      </c>
      <c r="L28" s="201">
        <f>M28-0.5%</f>
        <v>6.4527935634971903E-2</v>
      </c>
      <c r="M28" s="202">
        <f>C17</f>
        <v>6.9527935634971907E-2</v>
      </c>
      <c r="N28" s="201">
        <f>M28+0.5%</f>
        <v>7.4527935634971912E-2</v>
      </c>
      <c r="O28" s="203">
        <f>N28+0.5%</f>
        <v>7.9527935634971916E-2</v>
      </c>
      <c r="Q28" s="151"/>
      <c r="R28" s="151"/>
    </row>
    <row r="29" spans="2:22">
      <c r="B29" s="195" t="s">
        <v>190</v>
      </c>
      <c r="C29" s="193">
        <f>-WACC!I15</f>
        <v>-123.9</v>
      </c>
      <c r="D29" s="173"/>
      <c r="E29" s="173"/>
      <c r="F29" s="173"/>
      <c r="G29" s="183"/>
      <c r="H29" s="173"/>
      <c r="I29" s="173"/>
      <c r="J29" s="204">
        <f>J30-0.5%</f>
        <v>4.3800000000000006E-2</v>
      </c>
      <c r="K29" s="205">
        <f t="dataTable" ref="K29:O33" dt2D="1" dtr="1" r1="C17" r2="C18" ca="1"/>
        <v>374502.84622595302</v>
      </c>
      <c r="L29" s="206">
        <v>567949.68253554264</v>
      </c>
      <c r="M29" s="206">
        <v>567949.68253554264</v>
      </c>
      <c r="N29" s="206">
        <v>374502.84622595302</v>
      </c>
      <c r="O29" s="207">
        <v>214323.1318245265</v>
      </c>
      <c r="P29" s="167"/>
      <c r="Q29" s="167"/>
      <c r="R29" s="167"/>
    </row>
    <row r="30" spans="2:22">
      <c r="B30" s="195" t="s">
        <v>191</v>
      </c>
      <c r="C30" s="193">
        <f>CFS!B20</f>
        <v>24815.648893621274</v>
      </c>
      <c r="D30" s="173"/>
      <c r="E30" s="183"/>
      <c r="F30" s="183"/>
      <c r="G30" s="183"/>
      <c r="H30" s="208"/>
      <c r="I30" s="173"/>
      <c r="J30" s="204">
        <f>J31-0.5%</f>
        <v>4.8800000000000003E-2</v>
      </c>
      <c r="K30" s="209">
        <v>293057.56724384445</v>
      </c>
      <c r="L30" s="210">
        <v>399669.81431951525</v>
      </c>
      <c r="M30" s="210">
        <v>399669.81431951525</v>
      </c>
      <c r="N30" s="210">
        <v>293057.56724384445</v>
      </c>
      <c r="O30" s="211">
        <v>184925.47281751331</v>
      </c>
      <c r="P30" s="167"/>
      <c r="Q30" s="167"/>
      <c r="R30" s="167"/>
    </row>
    <row r="31" spans="2:22">
      <c r="B31" s="195" t="s">
        <v>319</v>
      </c>
      <c r="C31" s="212">
        <f>WACC!L3</f>
        <v>31.44</v>
      </c>
      <c r="D31" s="213"/>
      <c r="E31" s="183"/>
      <c r="F31" s="183"/>
      <c r="G31" s="183"/>
      <c r="H31" s="173"/>
      <c r="I31" s="173"/>
      <c r="J31" s="204">
        <f>C18</f>
        <v>5.3800000000000001E-2</v>
      </c>
      <c r="K31" s="209">
        <v>293057.56724384445</v>
      </c>
      <c r="L31" s="210">
        <v>399669.81431951525</v>
      </c>
      <c r="M31" s="417">
        <v>399669.81431951525</v>
      </c>
      <c r="N31" s="210">
        <v>293057.56724384445</v>
      </c>
      <c r="O31" s="211">
        <v>184925.47281751331</v>
      </c>
      <c r="P31" s="167"/>
      <c r="Q31" s="167"/>
      <c r="R31" s="167"/>
    </row>
    <row r="32" spans="2:22">
      <c r="B32" s="195" t="s">
        <v>192</v>
      </c>
      <c r="C32" s="193">
        <f>C28+C29+C30</f>
        <v>10349813.636232913</v>
      </c>
      <c r="D32" s="173"/>
      <c r="E32" s="173"/>
      <c r="F32" s="173"/>
      <c r="G32" s="173"/>
      <c r="H32" s="173"/>
      <c r="I32" s="173"/>
      <c r="J32" s="204">
        <f>J31+0.5%</f>
        <v>5.8799999999999998E-2</v>
      </c>
      <c r="K32" s="209">
        <v>374502.84622595302</v>
      </c>
      <c r="L32" s="210">
        <v>567949.68253554264</v>
      </c>
      <c r="M32" s="210">
        <v>567949.68253554264</v>
      </c>
      <c r="N32" s="210">
        <v>374502.84622595302</v>
      </c>
      <c r="O32" s="211">
        <v>214323.1318245265</v>
      </c>
      <c r="P32" s="167"/>
      <c r="Q32" s="167"/>
      <c r="R32" s="167"/>
    </row>
    <row r="33" spans="2:18" ht="15" thickBot="1">
      <c r="B33" s="161" t="s">
        <v>157</v>
      </c>
      <c r="C33" s="173">
        <f>WACC!L2</f>
        <v>12310.65</v>
      </c>
      <c r="D33" s="214"/>
      <c r="E33" s="183"/>
      <c r="F33" s="172"/>
      <c r="G33" s="172"/>
      <c r="H33" s="172"/>
      <c r="I33" s="172"/>
      <c r="J33" s="215">
        <f>J32+0.5%</f>
        <v>6.3799999999999996E-2</v>
      </c>
      <c r="K33" s="216">
        <v>963962.15865475114</v>
      </c>
      <c r="L33" s="217">
        <v>7839732.5402750764</v>
      </c>
      <c r="M33" s="217">
        <v>7839732.5402750764</v>
      </c>
      <c r="N33" s="217">
        <v>963962.15865475114</v>
      </c>
      <c r="O33" s="416">
        <v>329192.54568170838</v>
      </c>
      <c r="P33" s="167"/>
      <c r="Q33" s="167"/>
      <c r="R33" s="167"/>
    </row>
    <row r="34" spans="2:18">
      <c r="B34" s="218" t="s">
        <v>193</v>
      </c>
      <c r="C34" s="219">
        <f>C32/C31</f>
        <v>329192.54568170838</v>
      </c>
      <c r="D34" s="173"/>
      <c r="E34" s="183"/>
      <c r="F34" s="183"/>
      <c r="G34" s="183"/>
      <c r="H34" s="183"/>
      <c r="I34" s="183"/>
      <c r="K34" s="220"/>
      <c r="L34" s="167"/>
      <c r="M34" s="167"/>
      <c r="N34" s="167"/>
      <c r="O34" s="167"/>
      <c r="P34" s="167"/>
      <c r="Q34" s="167"/>
      <c r="R34" s="167"/>
    </row>
    <row r="35" spans="2:18">
      <c r="B35" s="221" t="s">
        <v>194</v>
      </c>
      <c r="C35" s="222">
        <f>C34/C33-1</f>
        <v>25.740468267858187</v>
      </c>
      <c r="D35" s="223"/>
      <c r="E35" s="224"/>
      <c r="F35" s="173"/>
      <c r="G35" s="173"/>
      <c r="H35" s="173"/>
      <c r="I35" s="173"/>
      <c r="J35" s="225"/>
      <c r="K35" s="220"/>
      <c r="L35" s="167"/>
      <c r="M35" s="167"/>
      <c r="N35" s="167"/>
      <c r="O35" s="167"/>
      <c r="P35" s="167"/>
      <c r="Q35" s="167"/>
      <c r="R35" s="167"/>
    </row>
    <row r="36" spans="2:18">
      <c r="B36" s="173"/>
      <c r="C36" s="173"/>
      <c r="D36" s="173"/>
      <c r="E36" s="173"/>
      <c r="F36" s="173"/>
      <c r="G36" s="173"/>
      <c r="H36" s="173"/>
      <c r="I36" s="173"/>
      <c r="J36" s="225"/>
      <c r="K36" s="223"/>
      <c r="L36" s="167"/>
      <c r="M36" s="167"/>
      <c r="N36" s="167"/>
      <c r="O36" s="167"/>
      <c r="P36" s="167"/>
      <c r="Q36" s="167"/>
      <c r="R36" s="167"/>
    </row>
    <row r="37" spans="2:18">
      <c r="K37" s="147"/>
    </row>
    <row r="38" spans="2:18">
      <c r="E38" t="s">
        <v>340</v>
      </c>
    </row>
    <row r="41" spans="2:18">
      <c r="G41" s="150"/>
    </row>
  </sheetData>
  <mergeCells count="1">
    <mergeCell ref="B13:C1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FFA6-CD22-46A2-B0EF-94D3DCC0AF64}">
  <dimension ref="C1:P22"/>
  <sheetViews>
    <sheetView showGridLines="0" workbookViewId="0">
      <selection activeCell="I13" sqref="I13"/>
    </sheetView>
  </sheetViews>
  <sheetFormatPr defaultRowHeight="14.5"/>
  <cols>
    <col min="3" max="3" width="27.54296875" customWidth="1"/>
    <col min="4" max="4" width="20.6328125" customWidth="1"/>
    <col min="5" max="5" width="18.08984375" bestFit="1" customWidth="1"/>
    <col min="9" max="9" width="20.1796875" bestFit="1" customWidth="1"/>
    <col min="10" max="10" width="6" bestFit="1" customWidth="1"/>
    <col min="16" max="16" width="13.7265625" bestFit="1" customWidth="1"/>
  </cols>
  <sheetData>
    <row r="1" spans="3:16">
      <c r="C1" t="s">
        <v>325</v>
      </c>
      <c r="I1" s="25"/>
      <c r="J1" s="25"/>
    </row>
    <row r="2" spans="3:16" ht="15" thickBot="1"/>
    <row r="3" spans="3:16" ht="15" thickBot="1">
      <c r="C3" s="438" t="s">
        <v>196</v>
      </c>
      <c r="D3" s="439"/>
      <c r="I3" s="25" t="s">
        <v>341</v>
      </c>
    </row>
    <row r="4" spans="3:16" ht="15" thickBot="1">
      <c r="C4" s="229" t="s">
        <v>197</v>
      </c>
      <c r="D4" s="230" t="s">
        <v>266</v>
      </c>
      <c r="E4" s="25" t="s">
        <v>327</v>
      </c>
    </row>
    <row r="5" spans="3:16">
      <c r="C5" s="428" t="s">
        <v>320</v>
      </c>
      <c r="D5" s="429">
        <v>31.35</v>
      </c>
      <c r="E5" s="149">
        <v>0.4</v>
      </c>
    </row>
    <row r="6" spans="3:16">
      <c r="C6" s="428" t="s">
        <v>321</v>
      </c>
      <c r="D6" s="429">
        <v>22.9</v>
      </c>
      <c r="E6" s="149">
        <v>0.2</v>
      </c>
    </row>
    <row r="7" spans="3:16" ht="15" thickBot="1">
      <c r="C7" s="430" t="s">
        <v>322</v>
      </c>
      <c r="D7" s="431">
        <v>17.559999999999999</v>
      </c>
      <c r="E7" s="149">
        <v>0.4</v>
      </c>
    </row>
    <row r="8" spans="3:16">
      <c r="C8" s="231"/>
      <c r="D8" s="232"/>
      <c r="I8" s="25"/>
      <c r="J8" s="25"/>
      <c r="K8" s="25"/>
      <c r="L8" s="25"/>
      <c r="M8" s="332" t="s">
        <v>263</v>
      </c>
      <c r="N8" s="301"/>
      <c r="O8" s="301"/>
      <c r="P8" s="414">
        <f>'Profit &amp; Loss Statement'!K29*10</f>
        <v>261455.22358430416</v>
      </c>
    </row>
    <row r="9" spans="3:16" ht="15" thickBot="1">
      <c r="C9" s="233" t="s">
        <v>198</v>
      </c>
      <c r="D9" s="234">
        <f>SUMPRODUCT(D5:D7,E5:E7)</f>
        <v>24.144000000000002</v>
      </c>
      <c r="M9" s="332" t="s">
        <v>264</v>
      </c>
      <c r="N9" s="301"/>
      <c r="O9" s="301"/>
      <c r="P9" s="415">
        <f>WACC!L3</f>
        <v>31.44</v>
      </c>
    </row>
    <row r="10" spans="3:16" ht="15" thickBot="1">
      <c r="C10" s="440" t="s">
        <v>328</v>
      </c>
      <c r="D10" s="441"/>
      <c r="H10" s="449" t="s">
        <v>326</v>
      </c>
      <c r="I10" s="450">
        <v>24.14</v>
      </c>
      <c r="M10" s="332" t="s">
        <v>323</v>
      </c>
      <c r="N10" s="301"/>
      <c r="O10" s="301"/>
      <c r="P10" s="414">
        <f>P8/P9</f>
        <v>8316.0058391954244</v>
      </c>
    </row>
    <row r="11" spans="3:16">
      <c r="C11" s="235" t="s">
        <v>329</v>
      </c>
      <c r="D11" s="236">
        <f>P10</f>
        <v>8316.0058391954244</v>
      </c>
    </row>
    <row r="12" spans="3:16">
      <c r="C12" s="442" t="s">
        <v>199</v>
      </c>
      <c r="D12" s="443"/>
      <c r="P12" s="147"/>
    </row>
    <row r="13" spans="3:16" ht="15" thickBot="1">
      <c r="C13" s="56" t="s">
        <v>324</v>
      </c>
      <c r="D13" s="57">
        <f>D11*D9</f>
        <v>200781.64498153434</v>
      </c>
      <c r="P13" s="147"/>
    </row>
    <row r="14" spans="3:16" ht="15" thickBot="1"/>
    <row r="15" spans="3:16">
      <c r="C15" s="237" t="s">
        <v>200</v>
      </c>
      <c r="D15" s="238" t="s">
        <v>201</v>
      </c>
      <c r="E15" s="239" t="s">
        <v>202</v>
      </c>
    </row>
    <row r="16" spans="3:16">
      <c r="C16" s="7" t="s">
        <v>203</v>
      </c>
      <c r="D16" s="240">
        <f>FCFF!C34</f>
        <v>329192.54568170838</v>
      </c>
      <c r="E16" s="241">
        <v>0.5</v>
      </c>
      <c r="F16" s="197"/>
      <c r="P16" s="242"/>
    </row>
    <row r="17" spans="3:6" ht="15" thickBot="1">
      <c r="C17" s="243" t="s">
        <v>204</v>
      </c>
      <c r="D17" s="244">
        <f>D13</f>
        <v>200781.64498153434</v>
      </c>
      <c r="E17" s="245">
        <v>0.5</v>
      </c>
      <c r="F17" s="197"/>
    </row>
    <row r="18" spans="3:6" ht="15" thickBot="1">
      <c r="C18" s="246" t="s">
        <v>205</v>
      </c>
      <c r="D18" s="444">
        <f>SUMPRODUCT(D16:D17,E16:E17)</f>
        <v>264987.09533162136</v>
      </c>
      <c r="E18" s="445"/>
    </row>
    <row r="22" spans="3:6">
      <c r="E22" s="147"/>
    </row>
  </sheetData>
  <mergeCells count="4">
    <mergeCell ref="C3:D3"/>
    <mergeCell ref="C10:D10"/>
    <mergeCell ref="C12:D12"/>
    <mergeCell ref="D18:E1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Balance Sheet</vt:lpstr>
      <vt:lpstr>CFS</vt:lpstr>
      <vt:lpstr>Schedules_Populated</vt:lpstr>
      <vt:lpstr>Profit &amp; Loss Statement</vt:lpstr>
      <vt:lpstr>Revenue Model</vt:lpstr>
      <vt:lpstr>Assumptions</vt:lpstr>
      <vt:lpstr>WACC</vt:lpstr>
      <vt:lpstr>FCFF</vt:lpstr>
      <vt:lpstr>Relative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hpw</dc:creator>
  <cp:lastModifiedBy>MANOJ KUMAR RATH</cp:lastModifiedBy>
  <dcterms:created xsi:type="dcterms:W3CDTF">2022-07-20T22:22:11Z</dcterms:created>
  <dcterms:modified xsi:type="dcterms:W3CDTF">2026-01-05T14:55:38Z</dcterms:modified>
</cp:coreProperties>
</file>